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OMMUNICATION EQP\2026\2 FEB\"/>
    </mc:Choice>
  </mc:AlternateContent>
  <xr:revisionPtr revIDLastSave="0" documentId="13_ncr:1_{D6B2DBDD-37C3-4180-AD39-4F8A923BC35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1 (3)" sheetId="3" state="hidden" r:id="rId1"/>
    <sheet name="Sheet1 (5)" sheetId="6" r:id="rId2"/>
    <sheet name="Sheet2" sheetId="7" r:id="rId3"/>
    <sheet name="Sheet1 (2)" sheetId="2" r:id="rId4"/>
    <sheet name="Sheet1 (4)" sheetId="5" r:id="rId5"/>
    <sheet name="Sheet1" sheetId="4" r:id="rId6"/>
  </sheets>
  <definedNames>
    <definedName name="_xlnm.Print_Area" localSheetId="3">'Sheet1 (2)'!$A$1:$K$38</definedName>
    <definedName name="_xlnm.Print_Area" localSheetId="0">'Sheet1 (3)'!$A$1:$L$47</definedName>
    <definedName name="_xlnm.Print_Area" localSheetId="4">'Sheet1 (4)'!$A$1:$K$40</definedName>
    <definedName name="_xlnm.Print_Area" localSheetId="1">'Sheet1 (5)'!$A$1:$K$40</definedName>
  </definedNames>
  <calcPr calcId="191029"/>
</workbook>
</file>

<file path=xl/calcChain.xml><?xml version="1.0" encoding="utf-8"?>
<calcChain xmlns="http://schemas.openxmlformats.org/spreadsheetml/2006/main">
  <c r="I9" i="6" l="1"/>
  <c r="I8" i="6"/>
  <c r="I5" i="6"/>
  <c r="I4" i="6"/>
  <c r="I13" i="6"/>
  <c r="I12" i="6"/>
  <c r="I11" i="6"/>
  <c r="I20" i="6"/>
  <c r="O10" i="6"/>
  <c r="O20" i="6"/>
  <c r="I16" i="6"/>
  <c r="I24" i="6"/>
  <c r="I3" i="6"/>
  <c r="I7" i="6"/>
  <c r="I19" i="6"/>
  <c r="I29" i="2"/>
  <c r="I28" i="2"/>
  <c r="I27" i="2"/>
  <c r="I26" i="2"/>
  <c r="I25" i="2"/>
  <c r="I24" i="2"/>
  <c r="I23" i="2"/>
  <c r="I22" i="2"/>
  <c r="I19" i="2"/>
  <c r="I18" i="2"/>
  <c r="I17" i="2"/>
  <c r="F16" i="2"/>
  <c r="I16" i="2" s="1"/>
  <c r="I15" i="2"/>
  <c r="I14" i="2"/>
  <c r="I13" i="2"/>
  <c r="I12" i="2"/>
  <c r="I11" i="2"/>
  <c r="I10" i="2"/>
  <c r="I9" i="2"/>
  <c r="I8" i="2"/>
  <c r="I7" i="2"/>
  <c r="I6" i="2"/>
  <c r="I5" i="2"/>
  <c r="I4" i="2"/>
  <c r="I3" i="2"/>
  <c r="I10" i="6"/>
  <c r="I6" i="6"/>
  <c r="I28" i="6"/>
  <c r="I27" i="6"/>
  <c r="I26" i="6"/>
  <c r="I25" i="6"/>
  <c r="I23" i="6"/>
  <c r="I18" i="6"/>
  <c r="I17" i="6"/>
  <c r="I15" i="6"/>
  <c r="I14" i="6"/>
  <c r="O6" i="2"/>
  <c r="O16" i="2"/>
  <c r="I28" i="5"/>
  <c r="I27" i="5"/>
  <c r="I26" i="5"/>
  <c r="I25" i="5"/>
  <c r="I24" i="5"/>
  <c r="I23" i="5"/>
  <c r="I22" i="5"/>
  <c r="I21" i="5"/>
  <c r="I20" i="5"/>
  <c r="I19" i="5"/>
  <c r="I18" i="5"/>
  <c r="I16" i="5"/>
  <c r="Q15" i="5"/>
  <c r="I14" i="5"/>
  <c r="I13" i="5"/>
  <c r="F12" i="5"/>
  <c r="I12" i="5" s="1"/>
  <c r="I11" i="5"/>
  <c r="I10" i="5"/>
  <c r="I9" i="5"/>
  <c r="I8" i="5"/>
  <c r="Q7" i="5"/>
  <c r="I7" i="5"/>
  <c r="I6" i="5"/>
  <c r="I5" i="5"/>
  <c r="I4" i="5"/>
  <c r="I3" i="5"/>
  <c r="I28" i="4"/>
  <c r="I27" i="4"/>
  <c r="I26" i="4"/>
  <c r="I25" i="4"/>
  <c r="I24" i="4"/>
  <c r="I23" i="4"/>
  <c r="I22" i="4"/>
  <c r="I21" i="4"/>
  <c r="I20" i="4"/>
  <c r="I19" i="4"/>
  <c r="I18" i="4"/>
  <c r="I16" i="4"/>
  <c r="I14" i="4"/>
  <c r="I13" i="4"/>
  <c r="F12" i="4"/>
  <c r="I12" i="4" s="1"/>
  <c r="I11" i="4"/>
  <c r="I10" i="4"/>
  <c r="I9" i="4"/>
  <c r="I8" i="4"/>
  <c r="I7" i="4"/>
  <c r="I6" i="4"/>
  <c r="I5" i="4"/>
  <c r="I4" i="4"/>
  <c r="I3" i="4"/>
  <c r="I28" i="3"/>
  <c r="I27" i="3"/>
  <c r="I26" i="3"/>
  <c r="I25" i="3"/>
  <c r="I24" i="3"/>
  <c r="I23" i="3"/>
  <c r="I22" i="3"/>
  <c r="I21" i="3"/>
  <c r="I20" i="3"/>
  <c r="I19" i="3"/>
  <c r="I18" i="3"/>
  <c r="I16" i="3"/>
  <c r="I14" i="3"/>
  <c r="I13" i="3"/>
  <c r="I12" i="3"/>
  <c r="I11" i="3"/>
  <c r="I10" i="3"/>
  <c r="I9" i="3"/>
  <c r="I8" i="3"/>
  <c r="I7" i="3"/>
  <c r="I6" i="3"/>
  <c r="I5" i="3"/>
  <c r="I4" i="3"/>
  <c r="I3" i="3"/>
</calcChain>
</file>

<file path=xl/sharedStrings.xml><?xml version="1.0" encoding="utf-8"?>
<sst xmlns="http://schemas.openxmlformats.org/spreadsheetml/2006/main" count="716" uniqueCount="146">
  <si>
    <t>S. NO</t>
  </si>
  <si>
    <t>NAME OF THE EQUIPMENT</t>
  </si>
  <si>
    <t>P/I</t>
  </si>
  <si>
    <t>T/I</t>
  </si>
  <si>
    <t>DEF</t>
  </si>
  <si>
    <t>ON HAND</t>
  </si>
  <si>
    <t>TOTAL</t>
  </si>
  <si>
    <t>LOAN G/pet</t>
  </si>
  <si>
    <t>REMARKS</t>
  </si>
  <si>
    <t>-</t>
  </si>
  <si>
    <t>GPS-E30 (100)</t>
  </si>
  <si>
    <t>1 -DSP sir</t>
  </si>
  <si>
    <t>Hytera H/H sets Received from G.pet on 24.08.2024 &amp; 11.11.2024</t>
  </si>
  <si>
    <t>10 H/H sets returned on 29.11.2024</t>
  </si>
  <si>
    <t>GPS Received from G.pet on 13.07.2024</t>
  </si>
  <si>
    <t>20 GPS,s Received on 20.09.2024 &amp; 26.09.2024 taken permanent issue vide GM.No.34/IC GHs/Hyd Dtd.05.10.2024</t>
  </si>
  <si>
    <t>PVPET GPS Def sent to Gandipet for repairs to firm on 15.06.2024</t>
  </si>
  <si>
    <t>12 GPS handover to Sri. Ganapathi consultant Bell of arms for repairs through G. Naresh SC Commns. On 04.07.2024</t>
  </si>
  <si>
    <t>05</t>
  </si>
  <si>
    <t>Monocular Sl .no: Pvpet-01 sent to G/pet on 07-10-2024</t>
  </si>
  <si>
    <t>01</t>
  </si>
  <si>
    <t>Hytera H/H Batteries received from G.pet on 27.07.2024</t>
  </si>
  <si>
    <t>(2020 Year-70 No.s &amp; 2022 year – 80 No.s)</t>
  </si>
  <si>
    <t>Received 40W Amplifier with 1 mike on 23.11.2024</t>
  </si>
  <si>
    <t>Received Mono T-7 on 04-12-24</t>
  </si>
  <si>
    <t xml:space="preserve"> </t>
  </si>
  <si>
    <t>AS PER LEDGER</t>
  </si>
  <si>
    <t xml:space="preserve">RECHARGABLE DURACELLS </t>
  </si>
  <si>
    <t xml:space="preserve">FLASH LIGHTS (SMALL) </t>
  </si>
  <si>
    <t xml:space="preserve">FLASH LIGHTS(BIG) </t>
  </si>
  <si>
    <t xml:space="preserve">ICR-30 SCANNER </t>
  </si>
  <si>
    <t xml:space="preserve">DIRECTIONAL FINDING ANTENNA </t>
  </si>
  <si>
    <t xml:space="preserve">DAY BINOCULAR </t>
  </si>
  <si>
    <t xml:space="preserve">MONOCULERS </t>
  </si>
  <si>
    <t xml:space="preserve">HYTERA CHARGERS </t>
  </si>
  <si>
    <t xml:space="preserve">HYTERA BATTERIES </t>
  </si>
  <si>
    <t xml:space="preserve">HYTERA H/H SETS </t>
  </si>
  <si>
    <t xml:space="preserve">CODAN 20W SET </t>
  </si>
  <si>
    <t>RECHARGABLE DURACELL CHARGER</t>
  </si>
  <si>
    <t xml:space="preserve">20WATT PORTABLE AMPLIFIER </t>
  </si>
  <si>
    <t xml:space="preserve">POINTER </t>
  </si>
  <si>
    <t xml:space="preserve">SATPHONE </t>
  </si>
  <si>
    <t xml:space="preserve">RANGE FINDER </t>
  </si>
  <si>
    <t>Adaptors (New)</t>
  </si>
  <si>
    <t xml:space="preserve">USB Cables </t>
  </si>
  <si>
    <t xml:space="preserve">Drilling machine without Accessories </t>
  </si>
  <si>
    <t xml:space="preserve">RECHARGABLE PEN CELLS (old) </t>
  </si>
  <si>
    <t xml:space="preserve">RECHARGABLE PENCELL CHARGERS </t>
  </si>
  <si>
    <r>
      <rPr>
        <b/>
        <sz val="12"/>
        <color theme="1"/>
        <rFont val="Calibri"/>
        <family val="2"/>
      </rPr>
      <t>70</t>
    </r>
    <r>
      <rPr>
        <sz val="12"/>
        <color theme="1"/>
        <rFont val="Calibri"/>
        <family val="2"/>
      </rPr>
      <t xml:space="preserve"> (pairs)</t>
    </r>
  </si>
  <si>
    <r>
      <rPr>
        <b/>
        <sz val="12"/>
        <color theme="1"/>
        <rFont val="Calibri"/>
        <family val="2"/>
      </rPr>
      <t>609</t>
    </r>
    <r>
      <rPr>
        <sz val="12"/>
        <color theme="1"/>
        <rFont val="Calibri"/>
        <family val="2"/>
      </rPr>
      <t xml:space="preserve"> (pairs)</t>
    </r>
  </si>
  <si>
    <t>Workshop</t>
  </si>
  <si>
    <t>Duty officer - 1</t>
  </si>
  <si>
    <t>Duty officer - 2</t>
  </si>
  <si>
    <t xml:space="preserve">12V 7 AHC BATTERIES </t>
  </si>
  <si>
    <t xml:space="preserve">  05 sent to Bangalaore (4 G/pet &amp; 01 (PPet-02))</t>
  </si>
  <si>
    <r>
      <t xml:space="preserve">POWER BANKS </t>
    </r>
    <r>
      <rPr>
        <sz val="12"/>
        <color theme="1"/>
        <rFont val="Arial"/>
        <family val="2"/>
      </rPr>
      <t xml:space="preserve">	</t>
    </r>
  </si>
  <si>
    <t>Sent to firm Bengaloore  S.no  T12,T13,T24,T3(G/pet) &amp;  pvpet-02 on 30.09.2024</t>
  </si>
  <si>
    <t>Returned to G.pet on 26-11-24 :     B23,T17,T20,T2,02/22</t>
  </si>
  <si>
    <t>COMMUNICATION EQUIPMENT DATE  19-12-2024</t>
  </si>
  <si>
    <t>EQUIPMENT TRANSACTION BETWEEN P.PET &amp; G.PET ON LOAN BASIS 19 -12-2024</t>
  </si>
  <si>
    <t>Received Mono T-7 on 04-12-24 &amp; T17, T20 on- 14-12-24</t>
  </si>
  <si>
    <t>Mono's Sent to firm Bengaloore  S.no  T12,T13,T24,T3(G/pet) &amp;  pvpet-02 on 30.09.2024</t>
  </si>
  <si>
    <t>Box clipped</t>
  </si>
  <si>
    <t>QTY</t>
  </si>
  <si>
    <r>
      <t xml:space="preserve">Reserved </t>
    </r>
    <r>
      <rPr>
        <b/>
        <sz val="10"/>
        <color rgb="FFFF0000"/>
        <rFont val="Calibri"/>
        <family val="2"/>
        <scheme val="minor"/>
      </rPr>
      <t>H/H</t>
    </r>
    <r>
      <rPr>
        <b/>
        <sz val="10"/>
        <color theme="1"/>
        <rFont val="Calibri"/>
        <family val="2"/>
        <scheme val="minor"/>
      </rPr>
      <t xml:space="preserve"> Equipment </t>
    </r>
  </si>
  <si>
    <t>Box 1(RC)</t>
  </si>
  <si>
    <t>Box 2(RC)</t>
  </si>
  <si>
    <r>
      <t xml:space="preserve">Reserved </t>
    </r>
    <r>
      <rPr>
        <b/>
        <sz val="10"/>
        <color rgb="FFFF0000"/>
        <rFont val="Calibri"/>
        <family val="2"/>
        <scheme val="minor"/>
      </rPr>
      <t>GPS</t>
    </r>
    <r>
      <rPr>
        <b/>
        <sz val="10"/>
        <color theme="1"/>
        <rFont val="Calibri"/>
        <family val="2"/>
        <scheme val="minor"/>
      </rPr>
      <t xml:space="preserve"> Equipment </t>
    </r>
  </si>
  <si>
    <t xml:space="preserve">GPS-E30 </t>
  </si>
  <si>
    <t>Tray</t>
  </si>
  <si>
    <t>Total(on hand)</t>
  </si>
  <si>
    <t>GPS Box</t>
  </si>
  <si>
    <t>COMMUNICATION EQUIPMENT DATE  13-01-2025</t>
  </si>
  <si>
    <t>EQUIPMENT TRANSACTION BETWEEN P.PET &amp; G.PET ON LOAN BASIS 13-01-2025</t>
  </si>
  <si>
    <t>Thermal Imager Sl.No.17089 rececived on 16-01-2025</t>
  </si>
  <si>
    <t>Almarah(workng)</t>
  </si>
  <si>
    <t>ICR-30 Scanner with D/F Antenna and 1 mtr cable received on 20-01-25</t>
  </si>
  <si>
    <t>1 Commandomeet</t>
  </si>
  <si>
    <t>1 -DSP sir &amp;                1 Commandomeet</t>
  </si>
  <si>
    <t>COMMUNICATION EQUIPMENT DATE  31-01-2025</t>
  </si>
  <si>
    <t>EQUIPMENT TRANSACTION BETWEEN P.PET &amp; G.PET ON LOAN BASIS 31-01-2025</t>
  </si>
  <si>
    <t>Mono's Sent to firm Bengaloore  S.no  T12,T13,T24,T3(G/pet) &amp;  pvpet-02 on 30.09.2024 &amp; received on 27-01-2025</t>
  </si>
  <si>
    <t xml:space="preserve">GPS- E30 </t>
  </si>
  <si>
    <t>Duty Officer - 2</t>
  </si>
  <si>
    <t>Duty Officer - 1</t>
  </si>
  <si>
    <r>
      <t xml:space="preserve">Reserved </t>
    </r>
    <r>
      <rPr>
        <b/>
        <sz val="12"/>
        <color rgb="FFFF0000"/>
        <rFont val="Calibri"/>
        <family val="2"/>
        <scheme val="minor"/>
      </rPr>
      <t>GPS</t>
    </r>
    <r>
      <rPr>
        <b/>
        <sz val="11"/>
        <color theme="1"/>
        <rFont val="Calibri"/>
        <family val="2"/>
        <scheme val="minor"/>
      </rPr>
      <t xml:space="preserve"> Equipment </t>
    </r>
  </si>
  <si>
    <r>
      <t xml:space="preserve">Reserved </t>
    </r>
    <r>
      <rPr>
        <b/>
        <sz val="12"/>
        <color rgb="FFFF0000"/>
        <rFont val="Calibri"/>
        <family val="2"/>
        <scheme val="minor"/>
      </rPr>
      <t>H/H</t>
    </r>
    <r>
      <rPr>
        <b/>
        <sz val="11"/>
        <color theme="1"/>
        <rFont val="Calibri"/>
        <family val="2"/>
        <scheme val="minor"/>
      </rPr>
      <t xml:space="preserve"> Equipment </t>
    </r>
  </si>
  <si>
    <t>VOLTAGE TESTER</t>
  </si>
  <si>
    <t>USB CABLES</t>
  </si>
  <si>
    <t>DRILLING MACHINE WOUT BITS</t>
  </si>
  <si>
    <t>ADOPTERS (New)</t>
  </si>
  <si>
    <t>40W P.AMPLIFIER WITH MIC</t>
  </si>
  <si>
    <t xml:space="preserve">FLASH LIGHTS (BIG) </t>
  </si>
  <si>
    <t xml:space="preserve">20W PORTABLE AMPLIFIER </t>
  </si>
  <si>
    <t>1 Issued to DSP sir</t>
  </si>
  <si>
    <t xml:space="preserve">EQUIPMENT TRANSACTION BETWEEN P.PET &amp; G.PET ON LOAN BASIS </t>
  </si>
  <si>
    <t>S.no</t>
  </si>
  <si>
    <t>Hytera H/H Batteries received from G.pet on 26-05-2025</t>
  </si>
  <si>
    <t xml:space="preserve">(2020 Year-112 No.s &amp; 2022 year – 38 No.s) </t>
  </si>
  <si>
    <t>ICR-30 Scanner with 1 Spare Bty, 1 Spacer, 1 Earphone recevied from G.pet  on 26-05-25</t>
  </si>
  <si>
    <t>SATPHONE  8991126286  Bal: 21365.89</t>
  </si>
  <si>
    <t>B-GAN -5 With mobile, C-cable, AC charger, DC charger, pouch</t>
  </si>
  <si>
    <t>D/F Antenna with 1 meter wire</t>
  </si>
  <si>
    <t>workshop</t>
  </si>
  <si>
    <t>Box 4(RC)</t>
  </si>
  <si>
    <t>Box 3(RC)</t>
  </si>
  <si>
    <t>Almara(working)</t>
  </si>
  <si>
    <t xml:space="preserve">HYTERA H/H BATTERIES </t>
  </si>
  <si>
    <t>MONOCULER</t>
  </si>
  <si>
    <t>DAY BINOCULAR</t>
  </si>
  <si>
    <t>Hytera H/H sets  local H/H -1, Repeater-1 with bty</t>
  </si>
  <si>
    <t>1+1</t>
  </si>
  <si>
    <t>Handed over to Mahesh (BOA)</t>
  </si>
  <si>
    <t>Thermal Imager Btys</t>
  </si>
  <si>
    <t>pairs</t>
  </si>
  <si>
    <t>(old)</t>
  </si>
  <si>
    <t>RECHARGABLE PENCELL CHARGERS</t>
  </si>
  <si>
    <t>Almara(defective)</t>
  </si>
  <si>
    <t>NVG sappl - 2029, TS-003, 2033 + 3x zoomer</t>
  </si>
  <si>
    <t>3 + 1</t>
  </si>
  <si>
    <t>Mono  T-14, SED 00016</t>
  </si>
  <si>
    <t>1 + 1</t>
  </si>
  <si>
    <t>Codan battery  HW-1 , with field charger and HW charger-1</t>
  </si>
  <si>
    <t>H/H sets receive on 13-07-2025 031 to 035 &amp; 121 to 135 &amp; 196 to 210 i.e total 45</t>
  </si>
  <si>
    <t>2+45</t>
  </si>
  <si>
    <t>Thermal imager(mono)-124227, 2 batterys, 2 E/G, 1 screw driver, 1 Liquid Bottle, 1 Charger, 1 T/I box, pouch</t>
  </si>
  <si>
    <t>RECHARGABLE  DURACELL CHARGER</t>
  </si>
  <si>
    <t>COMMUNICATION EQUIPMENT DATE 30-07-2025</t>
  </si>
  <si>
    <t>Issued to Krian JC BOA Commns</t>
  </si>
  <si>
    <t>Rope Launch equipment</t>
  </si>
  <si>
    <t xml:space="preserve">Handed over to instructors Thummaiah &amp; Swamy </t>
  </si>
  <si>
    <t>All Loan euipment returned to G/pet on 06-12-2025</t>
  </si>
  <si>
    <t>Thermal Imager Btys &amp; Chargers returned to G/Pet</t>
  </si>
  <si>
    <t>Codan battery  HW- issued to G/pet (Jammer Circuit) on 24-11-2025</t>
  </si>
  <si>
    <t>Handheld sets for RC excercises</t>
  </si>
  <si>
    <t>Handheld sets sent to G/Pet</t>
  </si>
  <si>
    <t>sent on 06-01-2026</t>
  </si>
  <si>
    <t>Thermal imager</t>
  </si>
  <si>
    <t>Received on 24-01-2026</t>
  </si>
  <si>
    <t>2 sent to G/Pet</t>
  </si>
  <si>
    <t>1 sent to G/Pet</t>
  </si>
  <si>
    <t>Box equipment for commando meet</t>
  </si>
  <si>
    <t>20 sent to G/pet</t>
  </si>
  <si>
    <t>Recd. From G/pet for base camp</t>
  </si>
  <si>
    <t>5 sent to G/Pet, 1 commando meet</t>
  </si>
  <si>
    <t>COMMUNICATION EQUIPMENT DATE  25-02-2026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</si>
</sst>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24"/>
      <color theme="1"/>
      <name val="Calibri"/>
      <family val="2"/>
    </font>
    <font>
      <sz val="22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2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mbria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indexed="64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auto="1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thin">
        <color theme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thin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1"/>
      </bottom>
      <diagonal/>
    </border>
    <border>
      <left style="medium">
        <color rgb="FF000000"/>
      </left>
      <right style="thin">
        <color indexed="64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42" fillId="0" borderId="0" applyFont="0" applyFill="0" applyBorder="0" applyAlignment="0" applyProtection="0"/>
  </cellStyleXfs>
  <cellXfs count="3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vertical="top" wrapText="1"/>
    </xf>
    <xf numFmtId="0" fontId="25" fillId="0" borderId="0" xfId="0" applyFont="1">
      <alignment vertical="center"/>
    </xf>
    <xf numFmtId="0" fontId="21" fillId="0" borderId="15" xfId="0" applyFont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28" fillId="0" borderId="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1" fillId="0" borderId="4" xfId="0" applyFont="1" applyBorder="1" applyAlignment="1">
      <alignment vertical="top" wrapText="1"/>
    </xf>
    <xf numFmtId="0" fontId="28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top" wrapText="1"/>
    </xf>
    <xf numFmtId="0" fontId="28" fillId="0" borderId="33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top" wrapText="1"/>
    </xf>
    <xf numFmtId="0" fontId="21" fillId="0" borderId="3" xfId="0" applyFont="1" applyBorder="1" applyAlignment="1">
      <alignment vertical="center" wrapText="1"/>
    </xf>
    <xf numFmtId="0" fontId="29" fillId="0" borderId="8" xfId="0" applyFont="1" applyBorder="1" applyAlignment="1">
      <alignment horizontal="center" vertical="center" wrapText="1"/>
    </xf>
    <xf numFmtId="0" fontId="28" fillId="0" borderId="4" xfId="0" applyFont="1" applyBorder="1" applyAlignment="1">
      <alignment vertical="top" wrapText="1"/>
    </xf>
    <xf numFmtId="0" fontId="34" fillId="0" borderId="16" xfId="0" applyFont="1" applyBorder="1">
      <alignment vertical="center"/>
    </xf>
    <xf numFmtId="0" fontId="28" fillId="0" borderId="6" xfId="0" applyFont="1" applyBorder="1" applyAlignment="1">
      <alignment vertical="top" wrapText="1"/>
    </xf>
    <xf numFmtId="0" fontId="28" fillId="0" borderId="19" xfId="0" applyFont="1" applyBorder="1" applyAlignment="1">
      <alignment vertical="top" wrapText="1"/>
    </xf>
    <xf numFmtId="0" fontId="34" fillId="0" borderId="16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0" fontId="26" fillId="0" borderId="18" xfId="0" applyFont="1" applyBorder="1" applyAlignment="1">
      <alignment horizontal="center" vertical="center" wrapText="1"/>
    </xf>
    <xf numFmtId="0" fontId="28" fillId="0" borderId="25" xfId="0" applyFont="1" applyBorder="1" applyAlignment="1">
      <alignment vertical="top" wrapText="1"/>
    </xf>
    <xf numFmtId="0" fontId="29" fillId="0" borderId="38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 wrapText="1"/>
    </xf>
    <xf numFmtId="0" fontId="0" fillId="0" borderId="46" xfId="0" applyBorder="1">
      <alignment vertical="center"/>
    </xf>
    <xf numFmtId="0" fontId="34" fillId="0" borderId="10" xfId="0" applyFont="1" applyBorder="1">
      <alignment vertical="center"/>
    </xf>
    <xf numFmtId="0" fontId="19" fillId="0" borderId="46" xfId="0" applyFont="1" applyBorder="1">
      <alignment vertical="center"/>
    </xf>
    <xf numFmtId="0" fontId="19" fillId="0" borderId="48" xfId="0" applyFont="1" applyBorder="1">
      <alignment vertical="center"/>
    </xf>
    <xf numFmtId="0" fontId="0" fillId="0" borderId="48" xfId="0" applyBorder="1">
      <alignment vertical="center"/>
    </xf>
    <xf numFmtId="0" fontId="32" fillId="0" borderId="48" xfId="0" applyFont="1" applyBorder="1">
      <alignment vertical="center"/>
    </xf>
    <xf numFmtId="0" fontId="0" fillId="0" borderId="47" xfId="0" applyBorder="1">
      <alignment vertical="center"/>
    </xf>
    <xf numFmtId="0" fontId="34" fillId="0" borderId="18" xfId="0" applyFont="1" applyBorder="1">
      <alignment vertical="center"/>
    </xf>
    <xf numFmtId="0" fontId="0" fillId="0" borderId="52" xfId="0" applyBorder="1">
      <alignment vertical="center"/>
    </xf>
    <xf numFmtId="0" fontId="32" fillId="2" borderId="48" xfId="0" applyFont="1" applyFill="1" applyBorder="1">
      <alignment vertical="center"/>
    </xf>
    <xf numFmtId="0" fontId="18" fillId="0" borderId="54" xfId="0" applyFont="1" applyBorder="1">
      <alignment vertical="center"/>
    </xf>
    <xf numFmtId="0" fontId="21" fillId="0" borderId="23" xfId="0" applyFont="1" applyBorder="1" applyAlignment="1">
      <alignment vertical="center" wrapText="1"/>
    </xf>
    <xf numFmtId="0" fontId="28" fillId="0" borderId="46" xfId="0" applyFont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/>
    </xf>
    <xf numFmtId="0" fontId="29" fillId="0" borderId="46" xfId="0" applyFont="1" applyBorder="1" applyAlignment="1">
      <alignment vertical="center" wrapText="1"/>
    </xf>
    <xf numFmtId="0" fontId="21" fillId="0" borderId="46" xfId="0" applyFont="1" applyBorder="1" applyAlignment="1">
      <alignment vertical="center" wrapText="1"/>
    </xf>
    <xf numFmtId="0" fontId="39" fillId="0" borderId="4" xfId="0" applyFont="1" applyBorder="1" applyAlignment="1">
      <alignment vertical="top" wrapText="1"/>
    </xf>
    <xf numFmtId="0" fontId="22" fillId="0" borderId="19" xfId="0" applyFont="1" applyBorder="1" applyAlignment="1">
      <alignment vertical="top" wrapText="1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40" fillId="0" borderId="16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17" fillId="0" borderId="46" xfId="0" applyFont="1" applyBorder="1">
      <alignment vertical="center"/>
    </xf>
    <xf numFmtId="0" fontId="0" fillId="0" borderId="10" xfId="0" applyBorder="1">
      <alignment vertical="center"/>
    </xf>
    <xf numFmtId="0" fontId="29" fillId="0" borderId="50" xfId="0" applyFont="1" applyBorder="1" applyAlignment="1">
      <alignment vertical="center" wrapText="1"/>
    </xf>
    <xf numFmtId="0" fontId="40" fillId="0" borderId="16" xfId="0" applyFont="1" applyBorder="1" applyAlignment="1">
      <alignment horizontal="left" vertical="center" wrapText="1"/>
    </xf>
    <xf numFmtId="0" fontId="40" fillId="0" borderId="10" xfId="0" applyFont="1" applyBorder="1">
      <alignment vertical="center"/>
    </xf>
    <xf numFmtId="0" fontId="40" fillId="0" borderId="16" xfId="0" applyFont="1" applyBorder="1">
      <alignment vertical="center"/>
    </xf>
    <xf numFmtId="0" fontId="37" fillId="3" borderId="47" xfId="0" applyFont="1" applyFill="1" applyBorder="1" applyAlignment="1">
      <alignment vertical="center" wrapText="1"/>
    </xf>
    <xf numFmtId="0" fontId="32" fillId="3" borderId="47" xfId="0" applyFont="1" applyFill="1" applyBorder="1" applyAlignment="1">
      <alignment horizontal="center" vertical="center"/>
    </xf>
    <xf numFmtId="9" fontId="0" fillId="0" borderId="0" xfId="1" applyFont="1" applyAlignment="1">
      <alignment vertical="center"/>
    </xf>
    <xf numFmtId="0" fontId="23" fillId="0" borderId="24" xfId="0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center" wrapText="1"/>
    </xf>
    <xf numFmtId="0" fontId="33" fillId="2" borderId="48" xfId="0" applyFont="1" applyFill="1" applyBorder="1">
      <alignment vertical="center"/>
    </xf>
    <xf numFmtId="0" fontId="32" fillId="3" borderId="47" xfId="0" applyFont="1" applyFill="1" applyBorder="1" applyAlignment="1">
      <alignment vertical="center" wrapText="1"/>
    </xf>
    <xf numFmtId="0" fontId="15" fillId="0" borderId="48" xfId="0" applyFont="1" applyBorder="1">
      <alignment vertical="center"/>
    </xf>
    <xf numFmtId="0" fontId="29" fillId="0" borderId="69" xfId="0" applyFont="1" applyBorder="1" applyAlignment="1">
      <alignment horizontal="center" vertical="center" wrapText="1"/>
    </xf>
    <xf numFmtId="0" fontId="28" fillId="0" borderId="68" xfId="0" applyFont="1" applyBorder="1" applyAlignment="1">
      <alignment horizontal="left" vertical="top" wrapText="1"/>
    </xf>
    <xf numFmtId="0" fontId="46" fillId="0" borderId="0" xfId="0" applyFont="1">
      <alignment vertical="center"/>
    </xf>
    <xf numFmtId="0" fontId="40" fillId="0" borderId="16" xfId="0" applyFont="1" applyBorder="1" applyAlignment="1">
      <alignment horizontal="center" vertical="top" wrapText="1"/>
    </xf>
    <xf numFmtId="0" fontId="0" fillId="0" borderId="0" xfId="0" applyAlignment="1">
      <alignment horizontal="left" vertical="center"/>
    </xf>
    <xf numFmtId="0" fontId="48" fillId="0" borderId="0" xfId="0" applyFont="1">
      <alignment vertical="center"/>
    </xf>
    <xf numFmtId="0" fontId="32" fillId="0" borderId="0" xfId="0" applyFont="1">
      <alignment vertical="center"/>
    </xf>
    <xf numFmtId="0" fontId="34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vertical="top" shrinkToFit="1"/>
    </xf>
    <xf numFmtId="0" fontId="33" fillId="0" borderId="10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33" fillId="0" borderId="70" xfId="0" applyFont="1" applyBorder="1" applyAlignment="1">
      <alignment horizontal="center" vertical="center"/>
    </xf>
    <xf numFmtId="0" fontId="33" fillId="0" borderId="19" xfId="0" applyFont="1" applyBorder="1" applyAlignment="1">
      <alignment horizontal="left" vertical="center" wrapText="1"/>
    </xf>
    <xf numFmtId="0" fontId="33" fillId="0" borderId="11" xfId="0" applyFont="1" applyBorder="1" applyAlignment="1">
      <alignment horizontal="left" vertical="center" wrapText="1"/>
    </xf>
    <xf numFmtId="0" fontId="40" fillId="0" borderId="16" xfId="0" applyFont="1" applyBorder="1" applyAlignment="1">
      <alignment horizontal="left" vertical="center"/>
    </xf>
    <xf numFmtId="0" fontId="40" fillId="0" borderId="11" xfId="0" applyFont="1" applyBorder="1" applyAlignment="1">
      <alignment horizontal="center" vertical="top" wrapText="1"/>
    </xf>
    <xf numFmtId="0" fontId="40" fillId="0" borderId="0" xfId="0" applyFont="1">
      <alignment vertical="center"/>
    </xf>
    <xf numFmtId="0" fontId="44" fillId="0" borderId="10" xfId="0" applyFont="1" applyBorder="1">
      <alignment vertical="center"/>
    </xf>
    <xf numFmtId="0" fontId="28" fillId="0" borderId="72" xfId="0" applyFont="1" applyBorder="1" applyAlignment="1">
      <alignment vertical="top" wrapText="1"/>
    </xf>
    <xf numFmtId="0" fontId="29" fillId="0" borderId="72" xfId="0" applyFont="1" applyBorder="1" applyAlignment="1">
      <alignment horizontal="center" vertical="top" wrapText="1"/>
    </xf>
    <xf numFmtId="0" fontId="28" fillId="0" borderId="72" xfId="0" applyFont="1" applyBorder="1" applyAlignment="1">
      <alignment horizontal="center" vertical="center" wrapText="1"/>
    </xf>
    <xf numFmtId="0" fontId="28" fillId="0" borderId="73" xfId="0" applyFont="1" applyBorder="1" applyAlignment="1">
      <alignment horizontal="center" vertical="center" wrapText="1"/>
    </xf>
    <xf numFmtId="0" fontId="40" fillId="0" borderId="74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 wrapText="1"/>
    </xf>
    <xf numFmtId="0" fontId="28" fillId="0" borderId="75" xfId="0" applyFont="1" applyBorder="1" applyAlignment="1">
      <alignment horizontal="center" vertical="center" wrapText="1"/>
    </xf>
    <xf numFmtId="0" fontId="28" fillId="0" borderId="76" xfId="0" applyFont="1" applyBorder="1" applyAlignment="1">
      <alignment horizontal="center" vertical="center" wrapText="1"/>
    </xf>
    <xf numFmtId="0" fontId="50" fillId="0" borderId="16" xfId="0" applyFont="1" applyBorder="1" applyAlignment="1">
      <alignment horizontal="left" wrapText="1"/>
    </xf>
    <xf numFmtId="0" fontId="40" fillId="0" borderId="24" xfId="0" applyFont="1" applyBorder="1">
      <alignment vertical="center"/>
    </xf>
    <xf numFmtId="0" fontId="29" fillId="0" borderId="77" xfId="0" applyFont="1" applyBorder="1" applyAlignment="1">
      <alignment horizontal="center" vertical="top" shrinkToFit="1"/>
    </xf>
    <xf numFmtId="0" fontId="33" fillId="0" borderId="77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68" xfId="0" applyFont="1" applyBorder="1" applyAlignment="1">
      <alignment vertical="top" wrapText="1"/>
    </xf>
    <xf numFmtId="0" fontId="29" fillId="0" borderId="68" xfId="0" applyFont="1" applyBorder="1" applyAlignment="1">
      <alignment horizontal="center" vertical="top" wrapText="1"/>
    </xf>
    <xf numFmtId="0" fontId="28" fillId="0" borderId="68" xfId="0" applyFont="1" applyBorder="1" applyAlignment="1">
      <alignment horizontal="center" vertical="center" wrapText="1"/>
    </xf>
    <xf numFmtId="0" fontId="28" fillId="0" borderId="78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0" fontId="28" fillId="0" borderId="80" xfId="0" applyFont="1" applyBorder="1" applyAlignment="1">
      <alignment horizontal="center" vertical="center" wrapText="1"/>
    </xf>
    <xf numFmtId="0" fontId="28" fillId="0" borderId="81" xfId="0" applyFont="1" applyBorder="1" applyAlignment="1">
      <alignment horizontal="center" vertical="center" wrapText="1"/>
    </xf>
    <xf numFmtId="0" fontId="33" fillId="5" borderId="16" xfId="0" applyFont="1" applyFill="1" applyBorder="1">
      <alignment vertical="center"/>
    </xf>
    <xf numFmtId="0" fontId="32" fillId="0" borderId="79" xfId="0" applyFont="1" applyBorder="1">
      <alignment vertical="center"/>
    </xf>
    <xf numFmtId="0" fontId="33" fillId="2" borderId="77" xfId="0" applyFont="1" applyFill="1" applyBorder="1">
      <alignment vertical="center"/>
    </xf>
    <xf numFmtId="0" fontId="32" fillId="0" borderId="16" xfId="0" applyFont="1" applyBorder="1">
      <alignment vertical="center"/>
    </xf>
    <xf numFmtId="0" fontId="32" fillId="3" borderId="79" xfId="0" applyFont="1" applyFill="1" applyBorder="1" applyAlignment="1">
      <alignment vertical="center" wrapText="1"/>
    </xf>
    <xf numFmtId="0" fontId="32" fillId="3" borderId="77" xfId="0" applyFont="1" applyFill="1" applyBorder="1" applyAlignment="1">
      <alignment horizontal="center" vertical="center"/>
    </xf>
    <xf numFmtId="0" fontId="19" fillId="0" borderId="82" xfId="0" applyFont="1" applyBorder="1">
      <alignment vertical="center"/>
    </xf>
    <xf numFmtId="0" fontId="19" fillId="0" borderId="84" xfId="0" applyFont="1" applyBorder="1">
      <alignment vertical="center"/>
    </xf>
    <xf numFmtId="0" fontId="13" fillId="0" borderId="84" xfId="0" applyFont="1" applyBorder="1">
      <alignment vertical="center"/>
    </xf>
    <xf numFmtId="0" fontId="12" fillId="0" borderId="84" xfId="0" applyFont="1" applyBorder="1">
      <alignment vertical="center"/>
    </xf>
    <xf numFmtId="0" fontId="11" fillId="0" borderId="85" xfId="0" applyFont="1" applyBorder="1" applyAlignment="1">
      <alignment horizontal="right" vertical="center"/>
    </xf>
    <xf numFmtId="0" fontId="9" fillId="0" borderId="84" xfId="0" applyFont="1" applyBorder="1">
      <alignment vertical="center"/>
    </xf>
    <xf numFmtId="0" fontId="14" fillId="0" borderId="85" xfId="0" applyFont="1" applyBorder="1">
      <alignment vertical="center"/>
    </xf>
    <xf numFmtId="0" fontId="0" fillId="0" borderId="86" xfId="0" applyBorder="1">
      <alignment vertical="center"/>
    </xf>
    <xf numFmtId="0" fontId="0" fillId="0" borderId="87" xfId="0" applyBorder="1">
      <alignment vertical="center"/>
    </xf>
    <xf numFmtId="0" fontId="15" fillId="0" borderId="92" xfId="0" applyFont="1" applyBorder="1">
      <alignment vertical="center"/>
    </xf>
    <xf numFmtId="0" fontId="7" fillId="0" borderId="93" xfId="0" applyFont="1" applyBorder="1">
      <alignment vertical="center"/>
    </xf>
    <xf numFmtId="0" fontId="19" fillId="0" borderId="92" xfId="0" applyFont="1" applyBorder="1">
      <alignment vertical="center"/>
    </xf>
    <xf numFmtId="0" fontId="8" fillId="0" borderId="93" xfId="0" applyFont="1" applyBorder="1" applyAlignment="1">
      <alignment horizontal="right" vertical="center"/>
    </xf>
    <xf numFmtId="0" fontId="13" fillId="0" borderId="92" xfId="0" applyFont="1" applyBorder="1">
      <alignment vertical="center"/>
    </xf>
    <xf numFmtId="0" fontId="10" fillId="0" borderId="93" xfId="0" applyFont="1" applyBorder="1" applyAlignment="1">
      <alignment horizontal="right" vertical="center"/>
    </xf>
    <xf numFmtId="0" fontId="10" fillId="0" borderId="84" xfId="0" applyFont="1" applyBorder="1">
      <alignment vertical="center"/>
    </xf>
    <xf numFmtId="0" fontId="18" fillId="0" borderId="32" xfId="0" applyFont="1" applyBorder="1">
      <alignment vertical="center"/>
    </xf>
    <xf numFmtId="0" fontId="6" fillId="0" borderId="85" xfId="0" applyFont="1" applyBorder="1" applyAlignment="1">
      <alignment horizontal="right" vertical="center"/>
    </xf>
    <xf numFmtId="0" fontId="5" fillId="0" borderId="93" xfId="0" applyFont="1" applyBorder="1" applyAlignment="1">
      <alignment horizontal="right" vertical="center"/>
    </xf>
    <xf numFmtId="0" fontId="40" fillId="0" borderId="16" xfId="0" applyFont="1" applyBorder="1" applyAlignment="1">
      <alignment vertical="center" wrapText="1"/>
    </xf>
    <xf numFmtId="14" fontId="0" fillId="0" borderId="0" xfId="0" applyNumberFormat="1">
      <alignment vertical="center"/>
    </xf>
    <xf numFmtId="0" fontId="4" fillId="0" borderId="83" xfId="0" applyFont="1" applyBorder="1" applyAlignment="1">
      <alignment horizontal="right" vertical="center"/>
    </xf>
    <xf numFmtId="0" fontId="4" fillId="0" borderId="85" xfId="0" applyFont="1" applyBorder="1" applyAlignment="1">
      <alignment horizontal="right" vertical="center"/>
    </xf>
    <xf numFmtId="0" fontId="3" fillId="0" borderId="85" xfId="0" applyFont="1" applyBorder="1" applyAlignment="1">
      <alignment horizontal="right" vertical="center"/>
    </xf>
    <xf numFmtId="0" fontId="2" fillId="0" borderId="30" xfId="0" applyFont="1" applyBorder="1">
      <alignment vertical="center"/>
    </xf>
    <xf numFmtId="0" fontId="32" fillId="0" borderId="23" xfId="0" applyFont="1" applyBorder="1" applyAlignment="1">
      <alignment horizontal="center" vertical="center"/>
    </xf>
    <xf numFmtId="0" fontId="1" fillId="0" borderId="89" xfId="0" applyFont="1" applyBorder="1">
      <alignment vertical="center"/>
    </xf>
    <xf numFmtId="0" fontId="50" fillId="0" borderId="46" xfId="0" applyFont="1" applyBorder="1">
      <alignment vertical="center"/>
    </xf>
    <xf numFmtId="14" fontId="50" fillId="0" borderId="46" xfId="0" applyNumberFormat="1" applyFont="1" applyBorder="1">
      <alignment vertical="center"/>
    </xf>
    <xf numFmtId="0" fontId="29" fillId="0" borderId="27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21" fillId="0" borderId="27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28" xfId="0" applyFont="1" applyBorder="1" applyAlignment="1">
      <alignment vertical="top" wrapText="1"/>
    </xf>
    <xf numFmtId="0" fontId="28" fillId="0" borderId="8" xfId="0" applyFont="1" applyBorder="1" applyAlignment="1">
      <alignment vertical="top" wrapText="1"/>
    </xf>
    <xf numFmtId="0" fontId="28" fillId="0" borderId="28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center" vertical="top" wrapText="1"/>
    </xf>
    <xf numFmtId="0" fontId="28" fillId="0" borderId="36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8" fillId="0" borderId="31" xfId="0" applyFont="1" applyBorder="1" applyAlignment="1">
      <alignment vertical="top" wrapText="1"/>
    </xf>
    <xf numFmtId="0" fontId="28" fillId="0" borderId="32" xfId="0" applyFont="1" applyBorder="1" applyAlignment="1">
      <alignment vertical="top" wrapText="1"/>
    </xf>
    <xf numFmtId="0" fontId="29" fillId="0" borderId="28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9" fillId="0" borderId="0" xfId="0" applyFont="1" applyAlignment="1">
      <alignment vertical="top" wrapText="1"/>
    </xf>
    <xf numFmtId="0" fontId="29" fillId="0" borderId="0" xfId="0" applyFont="1" applyAlignment="1">
      <alignment horizontal="center" vertical="top" wrapText="1"/>
    </xf>
    <xf numFmtId="0" fontId="29" fillId="0" borderId="5" xfId="0" applyFont="1" applyBorder="1" applyAlignment="1">
      <alignment vertical="top" wrapText="1"/>
    </xf>
    <xf numFmtId="0" fontId="29" fillId="0" borderId="6" xfId="0" applyFont="1" applyBorder="1" applyAlignment="1">
      <alignment horizontal="center" vertical="top" wrapText="1"/>
    </xf>
    <xf numFmtId="0" fontId="29" fillId="0" borderId="13" xfId="0" applyFont="1" applyBorder="1" applyAlignment="1">
      <alignment vertical="top" wrapText="1"/>
    </xf>
    <xf numFmtId="0" fontId="29" fillId="0" borderId="13" xfId="0" applyFont="1" applyBorder="1" applyAlignment="1">
      <alignment horizontal="center" vertical="top" wrapText="1"/>
    </xf>
    <xf numFmtId="0" fontId="29" fillId="0" borderId="20" xfId="0" applyFont="1" applyBorder="1" applyAlignment="1">
      <alignment vertical="top" wrapText="1"/>
    </xf>
    <xf numFmtId="0" fontId="29" fillId="0" borderId="6" xfId="0" applyFont="1" applyBorder="1" applyAlignment="1">
      <alignment vertical="top" wrapText="1"/>
    </xf>
    <xf numFmtId="0" fontId="29" fillId="0" borderId="4" xfId="0" applyFont="1" applyBorder="1" applyAlignment="1">
      <alignment vertical="top" wrapText="1"/>
    </xf>
    <xf numFmtId="0" fontId="36" fillId="0" borderId="29" xfId="0" applyFont="1" applyBorder="1" applyAlignment="1">
      <alignment horizontal="center" vertical="top" wrapText="1"/>
    </xf>
    <xf numFmtId="0" fontId="36" fillId="0" borderId="0" xfId="0" applyFont="1" applyAlignment="1">
      <alignment horizontal="center" vertical="top" wrapText="1"/>
    </xf>
    <xf numFmtId="0" fontId="36" fillId="0" borderId="30" xfId="0" applyFont="1" applyBorder="1" applyAlignment="1">
      <alignment horizontal="center" vertical="top" wrapText="1"/>
    </xf>
    <xf numFmtId="0" fontId="29" fillId="0" borderId="9" xfId="0" applyFont="1" applyBorder="1" applyAlignment="1">
      <alignment vertical="top" wrapText="1"/>
    </xf>
    <xf numFmtId="0" fontId="29" fillId="0" borderId="9" xfId="0" applyFont="1" applyBorder="1" applyAlignment="1">
      <alignment horizontal="center" vertical="top" wrapText="1"/>
    </xf>
    <xf numFmtId="0" fontId="29" fillId="0" borderId="19" xfId="0" applyFont="1" applyBorder="1" applyAlignment="1">
      <alignment horizontal="center" vertical="top" wrapText="1"/>
    </xf>
    <xf numFmtId="0" fontId="29" fillId="0" borderId="0" xfId="0" quotePrefix="1" applyFont="1" applyAlignment="1">
      <alignment horizontal="center" vertical="top" wrapText="1"/>
    </xf>
    <xf numFmtId="0" fontId="29" fillId="0" borderId="4" xfId="0" applyFont="1" applyBorder="1" applyAlignment="1">
      <alignment horizontal="justify" vertical="top" wrapText="1"/>
    </xf>
    <xf numFmtId="0" fontId="29" fillId="0" borderId="4" xfId="0" applyFont="1" applyBorder="1" applyAlignment="1">
      <alignment horizontal="center" vertical="top" wrapText="1"/>
    </xf>
    <xf numFmtId="0" fontId="29" fillId="0" borderId="6" xfId="0" quotePrefix="1" applyFont="1" applyBorder="1" applyAlignment="1">
      <alignment horizontal="center" vertical="top" wrapText="1"/>
    </xf>
    <xf numFmtId="0" fontId="23" fillId="0" borderId="27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top" wrapText="1"/>
    </xf>
    <xf numFmtId="0" fontId="27" fillId="0" borderId="4" xfId="0" applyFont="1" applyBorder="1" applyAlignment="1">
      <alignment vertical="top" wrapText="1"/>
    </xf>
    <xf numFmtId="0" fontId="27" fillId="0" borderId="6" xfId="0" applyFont="1" applyBorder="1" applyAlignment="1">
      <alignment vertical="top" wrapText="1"/>
    </xf>
    <xf numFmtId="0" fontId="29" fillId="0" borderId="1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32" fillId="0" borderId="24" xfId="0" applyFont="1" applyBorder="1" applyAlignment="1">
      <alignment horizontal="left" vertical="center"/>
    </xf>
    <xf numFmtId="0" fontId="33" fillId="0" borderId="58" xfId="0" applyFont="1" applyBorder="1" applyAlignment="1">
      <alignment horizontal="center" vertical="center"/>
    </xf>
    <xf numFmtId="0" fontId="33" fillId="0" borderId="57" xfId="0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9" fillId="0" borderId="70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32" fillId="0" borderId="32" xfId="0" applyFont="1" applyBorder="1" applyAlignment="1">
      <alignment horizontal="left" vertical="center" wrapText="1"/>
    </xf>
    <xf numFmtId="0" fontId="32" fillId="0" borderId="97" xfId="0" applyFont="1" applyBorder="1" applyAlignment="1">
      <alignment horizontal="left" vertical="center" wrapText="1"/>
    </xf>
    <xf numFmtId="0" fontId="32" fillId="0" borderId="98" xfId="0" applyFont="1" applyBorder="1" applyAlignment="1">
      <alignment horizontal="left" vertical="center" wrapText="1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2" fillId="4" borderId="88" xfId="0" applyFont="1" applyFill="1" applyBorder="1" applyAlignment="1">
      <alignment horizontal="left" vertical="center" wrapText="1"/>
    </xf>
    <xf numFmtId="0" fontId="32" fillId="4" borderId="90" xfId="0" applyFont="1" applyFill="1" applyBorder="1" applyAlignment="1">
      <alignment horizontal="left" vertical="center" wrapText="1"/>
    </xf>
    <xf numFmtId="0" fontId="34" fillId="0" borderId="57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95" xfId="0" applyFont="1" applyBorder="1" applyAlignment="1">
      <alignment horizontal="center" vertical="center" wrapText="1"/>
    </xf>
    <xf numFmtId="0" fontId="29" fillId="0" borderId="96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left" vertical="top" wrapText="1"/>
    </xf>
    <xf numFmtId="0" fontId="29" fillId="0" borderId="51" xfId="0" applyFont="1" applyBorder="1" applyAlignment="1">
      <alignment horizontal="left" vertical="top" wrapText="1"/>
    </xf>
    <xf numFmtId="0" fontId="29" fillId="0" borderId="52" xfId="0" applyFont="1" applyBorder="1" applyAlignment="1">
      <alignment horizontal="left" vertical="top" wrapText="1"/>
    </xf>
    <xf numFmtId="0" fontId="29" fillId="0" borderId="94" xfId="0" applyFont="1" applyBorder="1" applyAlignment="1">
      <alignment horizontal="left" vertical="top" wrapText="1"/>
    </xf>
    <xf numFmtId="0" fontId="16" fillId="0" borderId="0" xfId="0" applyFont="1" applyAlignment="1">
      <alignment horizontal="center" vertical="center" wrapText="1"/>
    </xf>
    <xf numFmtId="0" fontId="32" fillId="4" borderId="89" xfId="0" applyFont="1" applyFill="1" applyBorder="1" applyAlignment="1">
      <alignment horizontal="center" vertical="center"/>
    </xf>
    <xf numFmtId="0" fontId="32" fillId="4" borderId="91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2" fillId="0" borderId="23" xfId="0" applyFont="1" applyBorder="1" applyAlignment="1">
      <alignment horizontal="left" vertical="center" wrapText="1"/>
    </xf>
    <xf numFmtId="0" fontId="32" fillId="0" borderId="5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3" fillId="0" borderId="8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top" shrinkToFit="1"/>
    </xf>
    <xf numFmtId="0" fontId="29" fillId="0" borderId="55" xfId="0" applyFont="1" applyBorder="1" applyAlignment="1">
      <alignment horizontal="center" vertical="top" shrinkToFit="1"/>
    </xf>
    <xf numFmtId="0" fontId="29" fillId="0" borderId="24" xfId="0" applyFont="1" applyBorder="1" applyAlignment="1">
      <alignment horizontal="center" vertical="top" shrinkToFit="1"/>
    </xf>
    <xf numFmtId="0" fontId="23" fillId="0" borderId="55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23" xfId="0" applyFont="1" applyBorder="1" applyAlignment="1">
      <alignment horizontal="center" vertical="center" shrinkToFit="1"/>
    </xf>
    <xf numFmtId="0" fontId="29" fillId="0" borderId="70" xfId="0" applyFont="1" applyBorder="1" applyAlignment="1">
      <alignment horizontal="center" vertical="top" shrinkToFit="1"/>
    </xf>
    <xf numFmtId="0" fontId="29" fillId="0" borderId="19" xfId="0" applyFont="1" applyBorder="1" applyAlignment="1">
      <alignment horizontal="center" vertical="top" shrinkToFit="1"/>
    </xf>
    <xf numFmtId="0" fontId="29" fillId="0" borderId="11" xfId="0" applyFont="1" applyBorder="1" applyAlignment="1">
      <alignment horizontal="center" vertical="top" shrinkToFit="1"/>
    </xf>
    <xf numFmtId="0" fontId="0" fillId="0" borderId="7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 wrapText="1"/>
    </xf>
    <xf numFmtId="0" fontId="32" fillId="4" borderId="53" xfId="0" applyFont="1" applyFill="1" applyBorder="1" applyAlignment="1">
      <alignment horizontal="left" vertical="center" wrapText="1"/>
    </xf>
    <xf numFmtId="0" fontId="32" fillId="4" borderId="49" xfId="0" applyFont="1" applyFill="1" applyBorder="1" applyAlignment="1">
      <alignment horizontal="left" vertical="center" wrapText="1"/>
    </xf>
    <xf numFmtId="0" fontId="32" fillId="4" borderId="53" xfId="0" applyFont="1" applyFill="1" applyBorder="1" applyAlignment="1">
      <alignment horizontal="center" vertical="center"/>
    </xf>
    <xf numFmtId="0" fontId="32" fillId="4" borderId="49" xfId="0" applyFont="1" applyFill="1" applyBorder="1" applyAlignment="1">
      <alignment horizontal="center" vertical="center"/>
    </xf>
    <xf numFmtId="0" fontId="29" fillId="0" borderId="23" xfId="0" applyFont="1" applyBorder="1" applyAlignment="1">
      <alignment horizontal="center" vertical="top" wrapText="1"/>
    </xf>
    <xf numFmtId="0" fontId="29" fillId="0" borderId="24" xfId="0" applyFont="1" applyBorder="1" applyAlignment="1">
      <alignment horizontal="center" vertical="top" wrapText="1"/>
    </xf>
    <xf numFmtId="0" fontId="33" fillId="0" borderId="16" xfId="0" applyFont="1" applyBorder="1" applyAlignment="1">
      <alignment horizontal="left" vertical="center"/>
    </xf>
    <xf numFmtId="0" fontId="33" fillId="0" borderId="16" xfId="0" applyFont="1" applyBorder="1" applyAlignment="1">
      <alignment horizontal="center" vertical="center"/>
    </xf>
    <xf numFmtId="0" fontId="33" fillId="0" borderId="10" xfId="0" applyFont="1" applyBorder="1" applyAlignment="1">
      <alignment horizontal="left" vertical="center" wrapText="1"/>
    </xf>
    <xf numFmtId="0" fontId="33" fillId="0" borderId="10" xfId="0" applyFont="1" applyBorder="1" applyAlignment="1">
      <alignment horizontal="center" vertical="center"/>
    </xf>
    <xf numFmtId="0" fontId="29" fillId="0" borderId="71" xfId="0" applyFont="1" applyBorder="1" applyAlignment="1">
      <alignment horizontal="left" vertical="top" wrapText="1"/>
    </xf>
    <xf numFmtId="0" fontId="29" fillId="0" borderId="56" xfId="0" applyFont="1" applyBorder="1" applyAlignment="1">
      <alignment horizontal="left" vertical="top" wrapText="1"/>
    </xf>
    <xf numFmtId="0" fontId="40" fillId="0" borderId="29" xfId="0" applyFont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0" fontId="29" fillId="0" borderId="50" xfId="0" applyFont="1" applyBorder="1" applyAlignment="1">
      <alignment vertical="top" wrapText="1"/>
    </xf>
    <xf numFmtId="0" fontId="29" fillId="0" borderId="51" xfId="0" applyFont="1" applyBorder="1" applyAlignment="1">
      <alignment vertical="top" wrapText="1"/>
    </xf>
    <xf numFmtId="0" fontId="29" fillId="0" borderId="70" xfId="0" applyFont="1" applyBorder="1" applyAlignment="1">
      <alignment vertical="top" wrapText="1"/>
    </xf>
    <xf numFmtId="0" fontId="29" fillId="0" borderId="19" xfId="0" applyFont="1" applyBorder="1" applyAlignment="1">
      <alignment vertical="top" wrapText="1"/>
    </xf>
    <xf numFmtId="0" fontId="29" fillId="0" borderId="11" xfId="0" applyFont="1" applyBorder="1" applyAlignment="1">
      <alignment vertical="top" wrapText="1"/>
    </xf>
    <xf numFmtId="0" fontId="33" fillId="0" borderId="10" xfId="0" applyFont="1" applyBorder="1" applyAlignment="1">
      <alignment horizontal="left" vertical="center"/>
    </xf>
    <xf numFmtId="0" fontId="32" fillId="0" borderId="10" xfId="0" applyFont="1" applyBorder="1" applyAlignment="1">
      <alignment horizontal="left" vertical="center" wrapText="1"/>
    </xf>
    <xf numFmtId="0" fontId="33" fillId="0" borderId="55" xfId="0" applyFont="1" applyBorder="1" applyAlignment="1">
      <alignment horizontal="center" vertical="center"/>
    </xf>
    <xf numFmtId="0" fontId="37" fillId="0" borderId="53" xfId="0" applyFont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9" fillId="0" borderId="67" xfId="0" applyFont="1" applyBorder="1" applyAlignment="1">
      <alignment horizontal="center" vertical="center" wrapText="1"/>
    </xf>
    <xf numFmtId="0" fontId="29" fillId="0" borderId="41" xfId="0" applyFont="1" applyBorder="1" applyAlignment="1">
      <alignment vertical="top" wrapText="1"/>
    </xf>
    <xf numFmtId="0" fontId="29" fillId="0" borderId="44" xfId="0" applyFont="1" applyBorder="1" applyAlignment="1">
      <alignment vertical="top" wrapText="1"/>
    </xf>
    <xf numFmtId="0" fontId="29" fillId="0" borderId="45" xfId="0" applyFont="1" applyBorder="1" applyAlignment="1">
      <alignment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42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left" vertical="top" wrapText="1"/>
    </xf>
    <xf numFmtId="0" fontId="29" fillId="0" borderId="44" xfId="0" applyFont="1" applyBorder="1" applyAlignment="1">
      <alignment horizontal="left" vertical="top" wrapText="1"/>
    </xf>
    <xf numFmtId="0" fontId="29" fillId="0" borderId="45" xfId="0" applyFont="1" applyBorder="1" applyAlignment="1">
      <alignment horizontal="left" vertical="top" wrapText="1"/>
    </xf>
    <xf numFmtId="0" fontId="29" fillId="0" borderId="27" xfId="0" applyFont="1" applyBorder="1" applyAlignment="1">
      <alignment horizontal="center" vertical="top" wrapText="1"/>
    </xf>
    <xf numFmtId="0" fontId="29" fillId="0" borderId="66" xfId="0" applyFont="1" applyBorder="1" applyAlignment="1">
      <alignment horizontal="center" vertical="top" wrapText="1"/>
    </xf>
    <xf numFmtId="0" fontId="33" fillId="0" borderId="29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0" fontId="33" fillId="0" borderId="23" xfId="0" applyFont="1" applyBorder="1" applyAlignment="1">
      <alignment horizontal="left" vertical="center"/>
    </xf>
    <xf numFmtId="0" fontId="33" fillId="0" borderId="55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29" fillId="0" borderId="51" xfId="0" applyFont="1" applyBorder="1" applyAlignment="1">
      <alignment horizontal="center" vertical="top" wrapText="1"/>
    </xf>
    <xf numFmtId="0" fontId="29" fillId="0" borderId="16" xfId="0" applyFont="1" applyBorder="1" applyAlignment="1">
      <alignment horizontal="center" vertical="top" wrapText="1"/>
    </xf>
    <xf numFmtId="0" fontId="29" fillId="0" borderId="55" xfId="0" applyFont="1" applyBorder="1" applyAlignment="1">
      <alignment horizontal="center" vertical="top" wrapText="1"/>
    </xf>
    <xf numFmtId="0" fontId="23" fillId="0" borderId="16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top" wrapText="1"/>
    </xf>
    <xf numFmtId="0" fontId="27" fillId="0" borderId="16" xfId="0" applyFont="1" applyBorder="1" applyAlignment="1">
      <alignment horizontal="center" vertical="top" wrapText="1"/>
    </xf>
    <xf numFmtId="0" fontId="22" fillId="0" borderId="28" xfId="0" applyFont="1" applyBorder="1" applyAlignment="1">
      <alignment vertical="top" wrapText="1"/>
    </xf>
    <xf numFmtId="0" fontId="22" fillId="0" borderId="8" xfId="0" applyFont="1" applyBorder="1" applyAlignment="1">
      <alignment vertical="top" wrapText="1"/>
    </xf>
    <xf numFmtId="0" fontId="22" fillId="0" borderId="31" xfId="0" applyFont="1" applyBorder="1" applyAlignment="1">
      <alignment vertical="top" wrapText="1"/>
    </xf>
    <xf numFmtId="0" fontId="22" fillId="0" borderId="32" xfId="0" applyFont="1" applyBorder="1" applyAlignment="1">
      <alignment vertical="top" wrapText="1"/>
    </xf>
    <xf numFmtId="0" fontId="29" fillId="0" borderId="63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20" fillId="0" borderId="30" xfId="0" applyFont="1" applyBorder="1" applyAlignment="1">
      <alignment horizontal="center" vertical="top" wrapText="1"/>
    </xf>
    <xf numFmtId="0" fontId="28" fillId="0" borderId="46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29" fillId="0" borderId="5" xfId="0" applyFont="1" applyBorder="1" applyAlignment="1">
      <alignment horizontal="center" vertical="top" wrapText="1"/>
    </xf>
    <xf numFmtId="0" fontId="29" fillId="0" borderId="50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top" wrapText="1"/>
    </xf>
    <xf numFmtId="0" fontId="29" fillId="0" borderId="56" xfId="0" applyFont="1" applyBorder="1" applyAlignment="1">
      <alignment horizontal="center" vertical="top" wrapText="1"/>
    </xf>
    <xf numFmtId="0" fontId="29" fillId="0" borderId="57" xfId="0" applyFont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63E2-633C-4678-8E75-D99A827A86FE}">
  <sheetPr>
    <pageSetUpPr fitToPage="1"/>
  </sheetPr>
  <dimension ref="A1:K47"/>
  <sheetViews>
    <sheetView workbookViewId="0">
      <selection activeCell="A2" sqref="A2:K2"/>
    </sheetView>
  </sheetViews>
  <sheetFormatPr defaultColWidth="9.140625" defaultRowHeight="15"/>
  <cols>
    <col min="1" max="1" width="3" customWidth="1"/>
    <col min="2" max="2" width="1.42578125" customWidth="1"/>
    <col min="3" max="3" width="30.42578125" customWidth="1"/>
    <col min="4" max="4" width="7.7109375" style="1" customWidth="1"/>
    <col min="5" max="5" width="7.140625" style="1" customWidth="1"/>
    <col min="6" max="6" width="7.28515625" style="1" customWidth="1"/>
    <col min="7" max="7" width="7.42578125" style="1" customWidth="1"/>
    <col min="8" max="8" width="8.42578125" customWidth="1"/>
    <col min="9" max="9" width="8.28515625" customWidth="1"/>
    <col min="10" max="10" width="7.7109375" customWidth="1"/>
    <col min="11" max="11" width="18" customWidth="1"/>
  </cols>
  <sheetData>
    <row r="1" spans="1:11" ht="20.25" customHeight="1" thickBot="1">
      <c r="A1" s="163" t="s">
        <v>58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</row>
    <row r="2" spans="1:11" ht="31.5" customHeight="1" thickBot="1">
      <c r="A2" s="164" t="s">
        <v>0</v>
      </c>
      <c r="B2" s="165"/>
      <c r="C2" s="16" t="s">
        <v>1</v>
      </c>
      <c r="D2" s="16" t="s">
        <v>26</v>
      </c>
      <c r="E2" s="3" t="s">
        <v>2</v>
      </c>
      <c r="F2" s="3" t="s">
        <v>3</v>
      </c>
      <c r="G2" s="3" t="s">
        <v>4</v>
      </c>
      <c r="H2" s="3" t="s">
        <v>5</v>
      </c>
      <c r="I2" s="2" t="s">
        <v>6</v>
      </c>
      <c r="J2" s="6" t="s">
        <v>7</v>
      </c>
      <c r="K2" s="2" t="s">
        <v>8</v>
      </c>
    </row>
    <row r="3" spans="1:11" ht="16.5" customHeight="1" thickBot="1">
      <c r="A3" s="161">
        <v>1</v>
      </c>
      <c r="B3" s="162"/>
      <c r="C3" s="31" t="s">
        <v>37</v>
      </c>
      <c r="D3" s="23">
        <v>1</v>
      </c>
      <c r="E3" s="8" t="s">
        <v>9</v>
      </c>
      <c r="F3" s="8" t="s">
        <v>9</v>
      </c>
      <c r="G3" s="8">
        <v>1</v>
      </c>
      <c r="H3" s="8" t="s">
        <v>9</v>
      </c>
      <c r="I3" s="9">
        <f>SUM(E3:H3)</f>
        <v>1</v>
      </c>
      <c r="J3" s="20" t="s">
        <v>9</v>
      </c>
      <c r="K3" s="32"/>
    </row>
    <row r="4" spans="1:11" ht="16.5" customHeight="1" thickBot="1">
      <c r="A4" s="161">
        <v>2</v>
      </c>
      <c r="B4" s="162"/>
      <c r="C4" s="31" t="s">
        <v>36</v>
      </c>
      <c r="D4" s="23">
        <v>126</v>
      </c>
      <c r="E4" s="8">
        <v>17</v>
      </c>
      <c r="F4" s="8">
        <v>60</v>
      </c>
      <c r="G4" s="8">
        <v>10</v>
      </c>
      <c r="H4" s="8">
        <v>39</v>
      </c>
      <c r="I4" s="9">
        <f>SUM(E4:H4)</f>
        <v>126</v>
      </c>
      <c r="J4" s="21">
        <v>20</v>
      </c>
      <c r="K4" s="32"/>
    </row>
    <row r="5" spans="1:11" ht="16.5" customHeight="1" thickBot="1">
      <c r="A5" s="161">
        <v>3</v>
      </c>
      <c r="B5" s="162"/>
      <c r="C5" s="31" t="s">
        <v>35</v>
      </c>
      <c r="D5" s="23">
        <v>341</v>
      </c>
      <c r="E5" s="8">
        <v>24</v>
      </c>
      <c r="F5" s="8">
        <v>4</v>
      </c>
      <c r="G5" s="8">
        <v>15</v>
      </c>
      <c r="H5" s="8">
        <v>298</v>
      </c>
      <c r="I5" s="9">
        <f>SUM(E5:H5)</f>
        <v>341</v>
      </c>
      <c r="J5" s="21">
        <v>150</v>
      </c>
      <c r="K5" s="32"/>
    </row>
    <row r="6" spans="1:11" ht="16.5" customHeight="1" thickBot="1">
      <c r="A6" s="161">
        <v>4</v>
      </c>
      <c r="B6" s="162"/>
      <c r="C6" s="31" t="s">
        <v>34</v>
      </c>
      <c r="D6" s="23">
        <v>35</v>
      </c>
      <c r="E6" s="8">
        <v>8</v>
      </c>
      <c r="F6" s="8" t="s">
        <v>9</v>
      </c>
      <c r="G6" s="8" t="s">
        <v>9</v>
      </c>
      <c r="H6" s="8">
        <v>27</v>
      </c>
      <c r="I6" s="9">
        <f>SUM(E6:H6)</f>
        <v>35</v>
      </c>
      <c r="J6" s="21" t="s">
        <v>9</v>
      </c>
      <c r="K6" s="32"/>
    </row>
    <row r="7" spans="1:11" ht="17.100000000000001" customHeight="1" thickBot="1">
      <c r="A7" s="161">
        <v>5</v>
      </c>
      <c r="B7" s="162"/>
      <c r="C7" s="31" t="s">
        <v>10</v>
      </c>
      <c r="D7" s="23">
        <v>100</v>
      </c>
      <c r="E7" s="8" t="s">
        <v>9</v>
      </c>
      <c r="F7" s="8">
        <v>4</v>
      </c>
      <c r="G7" s="8">
        <v>25</v>
      </c>
      <c r="H7" s="8">
        <v>71</v>
      </c>
      <c r="I7" s="9">
        <f>SUM(E7:H7)</f>
        <v>100</v>
      </c>
      <c r="J7" s="21">
        <v>10</v>
      </c>
      <c r="K7" s="32"/>
    </row>
    <row r="8" spans="1:11" ht="19.5" customHeight="1" thickBot="1">
      <c r="A8" s="166">
        <v>6</v>
      </c>
      <c r="B8" s="166"/>
      <c r="C8" s="40" t="s">
        <v>33</v>
      </c>
      <c r="D8" s="41">
        <v>8</v>
      </c>
      <c r="E8" s="42" t="s">
        <v>9</v>
      </c>
      <c r="F8" s="43" t="s">
        <v>9</v>
      </c>
      <c r="G8" s="44">
        <v>5</v>
      </c>
      <c r="H8" s="45">
        <v>3</v>
      </c>
      <c r="I8" s="45">
        <f>SUM(E8,F8,G8,H8)</f>
        <v>8</v>
      </c>
      <c r="J8" s="42">
        <v>6</v>
      </c>
      <c r="K8" s="39" t="s">
        <v>54</v>
      </c>
    </row>
    <row r="9" spans="1:11" ht="16.5" customHeight="1" thickBot="1">
      <c r="A9" s="161">
        <v>7</v>
      </c>
      <c r="B9" s="162"/>
      <c r="C9" s="31" t="s">
        <v>32</v>
      </c>
      <c r="D9" s="23">
        <v>28</v>
      </c>
      <c r="E9" s="8">
        <v>7</v>
      </c>
      <c r="F9" s="8">
        <v>1</v>
      </c>
      <c r="G9" s="8" t="s">
        <v>9</v>
      </c>
      <c r="H9" s="8">
        <v>20</v>
      </c>
      <c r="I9" s="9">
        <f>SUM(E9:H9)</f>
        <v>28</v>
      </c>
      <c r="J9" s="21" t="s">
        <v>9</v>
      </c>
      <c r="K9" s="32"/>
    </row>
    <row r="10" spans="1:11" ht="15.75" customHeight="1" thickBot="1">
      <c r="A10" s="161">
        <v>8</v>
      </c>
      <c r="B10" s="162"/>
      <c r="C10" s="17" t="s">
        <v>31</v>
      </c>
      <c r="D10" s="25">
        <v>3</v>
      </c>
      <c r="E10" s="8" t="s">
        <v>9</v>
      </c>
      <c r="F10" s="8" t="s">
        <v>9</v>
      </c>
      <c r="G10" s="8" t="s">
        <v>9</v>
      </c>
      <c r="H10" s="8">
        <v>3</v>
      </c>
      <c r="I10" s="9">
        <f>SUM(E10:H10)</f>
        <v>3</v>
      </c>
      <c r="J10" s="21" t="s">
        <v>9</v>
      </c>
      <c r="K10" s="32"/>
    </row>
    <row r="11" spans="1:11" ht="16.5" customHeight="1" thickBot="1">
      <c r="A11" s="161">
        <v>9</v>
      </c>
      <c r="B11" s="162"/>
      <c r="C11" s="31" t="s">
        <v>30</v>
      </c>
      <c r="D11" s="23">
        <v>2</v>
      </c>
      <c r="E11" s="8" t="s">
        <v>9</v>
      </c>
      <c r="F11" s="8" t="s">
        <v>9</v>
      </c>
      <c r="G11" s="8" t="s">
        <v>9</v>
      </c>
      <c r="H11" s="8">
        <v>2</v>
      </c>
      <c r="I11" s="9">
        <f>SUM(E11:H11)</f>
        <v>2</v>
      </c>
      <c r="J11" s="21" t="s">
        <v>9</v>
      </c>
      <c r="K11" s="32"/>
    </row>
    <row r="12" spans="1:11" ht="17.100000000000001" customHeight="1" thickBot="1">
      <c r="A12" s="161">
        <v>10</v>
      </c>
      <c r="B12" s="162"/>
      <c r="C12" s="31" t="s">
        <v>29</v>
      </c>
      <c r="D12" s="23">
        <v>2</v>
      </c>
      <c r="E12" s="8" t="s">
        <v>9</v>
      </c>
      <c r="F12" s="8" t="s">
        <v>9</v>
      </c>
      <c r="G12" s="8">
        <v>2</v>
      </c>
      <c r="H12" s="8">
        <v>2</v>
      </c>
      <c r="I12" s="9">
        <f>SUM(E12:H12)</f>
        <v>4</v>
      </c>
      <c r="J12" s="21" t="s">
        <v>9</v>
      </c>
      <c r="K12" s="32"/>
    </row>
    <row r="13" spans="1:11" ht="21" customHeight="1" thickBot="1">
      <c r="A13" s="161">
        <v>11</v>
      </c>
      <c r="B13" s="162"/>
      <c r="C13" s="31" t="s">
        <v>28</v>
      </c>
      <c r="D13" s="25">
        <v>15</v>
      </c>
      <c r="E13" s="8" t="s">
        <v>9</v>
      </c>
      <c r="F13" s="8" t="s">
        <v>9</v>
      </c>
      <c r="G13" s="10">
        <v>4</v>
      </c>
      <c r="H13" s="11">
        <v>11</v>
      </c>
      <c r="I13" s="9">
        <f>SUM(E13:H13)</f>
        <v>15</v>
      </c>
      <c r="J13" s="21" t="s">
        <v>9</v>
      </c>
      <c r="K13" s="32"/>
    </row>
    <row r="14" spans="1:11" ht="16.5" customHeight="1" thickBot="1">
      <c r="A14" s="166">
        <v>12</v>
      </c>
      <c r="B14" s="166"/>
      <c r="C14" s="169" t="s">
        <v>27</v>
      </c>
      <c r="D14" s="171" t="s">
        <v>48</v>
      </c>
      <c r="E14" s="167" t="s">
        <v>9</v>
      </c>
      <c r="F14" s="167">
        <v>8</v>
      </c>
      <c r="G14" s="167" t="s">
        <v>9</v>
      </c>
      <c r="H14" s="167">
        <v>62</v>
      </c>
      <c r="I14" s="167">
        <f>SUM(E14:H15)</f>
        <v>70</v>
      </c>
      <c r="J14" s="173" t="s">
        <v>9</v>
      </c>
      <c r="K14" s="175"/>
    </row>
    <row r="15" spans="1:11" ht="16.5" customHeight="1" thickBot="1">
      <c r="A15" s="166"/>
      <c r="B15" s="166"/>
      <c r="C15" s="170"/>
      <c r="D15" s="172"/>
      <c r="E15" s="168"/>
      <c r="F15" s="168"/>
      <c r="G15" s="168"/>
      <c r="H15" s="168"/>
      <c r="I15" s="168"/>
      <c r="J15" s="174"/>
      <c r="K15" s="176"/>
    </row>
    <row r="16" spans="1:11" ht="16.5" customHeight="1" thickBot="1">
      <c r="A16" s="166">
        <v>13</v>
      </c>
      <c r="B16" s="181"/>
      <c r="C16" s="182" t="s">
        <v>38</v>
      </c>
      <c r="D16" s="184">
        <v>35</v>
      </c>
      <c r="E16" s="185" t="s">
        <v>9</v>
      </c>
      <c r="F16" s="185" t="s">
        <v>9</v>
      </c>
      <c r="G16" s="185" t="s">
        <v>9</v>
      </c>
      <c r="H16" s="185">
        <v>35</v>
      </c>
      <c r="I16" s="186">
        <f>SUM(E16:H17)</f>
        <v>35</v>
      </c>
      <c r="J16" s="174" t="s">
        <v>9</v>
      </c>
      <c r="K16" s="175"/>
    </row>
    <row r="17" spans="1:11" ht="16.5" customHeight="1" thickBot="1">
      <c r="A17" s="166"/>
      <c r="B17" s="181"/>
      <c r="C17" s="183"/>
      <c r="D17" s="166"/>
      <c r="E17" s="185"/>
      <c r="F17" s="185"/>
      <c r="G17" s="185"/>
      <c r="H17" s="185"/>
      <c r="I17" s="186"/>
      <c r="J17" s="174"/>
      <c r="K17" s="176"/>
    </row>
    <row r="18" spans="1:11" ht="21.75" customHeight="1" thickBot="1">
      <c r="A18" s="179">
        <v>14</v>
      </c>
      <c r="B18" s="180"/>
      <c r="C18" s="34" t="s">
        <v>39</v>
      </c>
      <c r="D18" s="30">
        <v>4</v>
      </c>
      <c r="E18" s="12" t="s">
        <v>9</v>
      </c>
      <c r="F18" s="12" t="s">
        <v>9</v>
      </c>
      <c r="G18" s="12">
        <v>2</v>
      </c>
      <c r="H18" s="12">
        <v>2</v>
      </c>
      <c r="I18" s="13">
        <f t="shared" ref="I18:I28" si="0">SUM(E18:H18)</f>
        <v>4</v>
      </c>
      <c r="J18" s="22" t="s">
        <v>9</v>
      </c>
      <c r="K18" s="32"/>
    </row>
    <row r="19" spans="1:11" ht="18.75" customHeight="1" thickBot="1">
      <c r="A19" s="187">
        <v>15</v>
      </c>
      <c r="B19" s="188"/>
      <c r="C19" s="34" t="s">
        <v>40</v>
      </c>
      <c r="D19" s="26">
        <v>4</v>
      </c>
      <c r="E19" s="14" t="s">
        <v>9</v>
      </c>
      <c r="F19" s="14" t="s">
        <v>9</v>
      </c>
      <c r="G19" s="14" t="s">
        <v>9</v>
      </c>
      <c r="H19" s="14">
        <v>4</v>
      </c>
      <c r="I19" s="13">
        <f t="shared" si="0"/>
        <v>4</v>
      </c>
      <c r="J19" s="22" t="s">
        <v>9</v>
      </c>
      <c r="K19" s="32"/>
    </row>
    <row r="20" spans="1:11" ht="18.75" customHeight="1" thickBot="1">
      <c r="A20" s="177">
        <v>16</v>
      </c>
      <c r="B20" s="178"/>
      <c r="C20" s="33" t="s">
        <v>41</v>
      </c>
      <c r="D20" s="27">
        <v>1</v>
      </c>
      <c r="E20" s="15" t="s">
        <v>9</v>
      </c>
      <c r="F20" s="8" t="s">
        <v>9</v>
      </c>
      <c r="G20" s="8">
        <v>1</v>
      </c>
      <c r="H20" s="8" t="s">
        <v>9</v>
      </c>
      <c r="I20" s="9">
        <f t="shared" si="0"/>
        <v>1</v>
      </c>
      <c r="J20" s="21" t="s">
        <v>9</v>
      </c>
      <c r="K20" s="32"/>
    </row>
    <row r="21" spans="1:11" ht="18" customHeight="1" thickBot="1">
      <c r="A21" s="161">
        <v>17</v>
      </c>
      <c r="B21" s="162"/>
      <c r="C21" s="31" t="s">
        <v>42</v>
      </c>
      <c r="D21" s="23">
        <v>2</v>
      </c>
      <c r="E21" s="8" t="s">
        <v>9</v>
      </c>
      <c r="F21" s="8" t="s">
        <v>9</v>
      </c>
      <c r="G21" s="8" t="s">
        <v>9</v>
      </c>
      <c r="H21" s="8">
        <v>2</v>
      </c>
      <c r="I21" s="9">
        <f t="shared" si="0"/>
        <v>2</v>
      </c>
      <c r="J21" s="21" t="s">
        <v>9</v>
      </c>
      <c r="K21" s="32"/>
    </row>
    <row r="22" spans="1:11" ht="18.95" customHeight="1" thickBot="1">
      <c r="A22" s="161">
        <v>18</v>
      </c>
      <c r="B22" s="162"/>
      <c r="C22" s="31" t="s">
        <v>53</v>
      </c>
      <c r="D22" s="23">
        <v>13</v>
      </c>
      <c r="E22" s="8" t="s">
        <v>9</v>
      </c>
      <c r="F22" s="8" t="s">
        <v>9</v>
      </c>
      <c r="G22" s="8">
        <v>7</v>
      </c>
      <c r="H22" s="8">
        <v>6</v>
      </c>
      <c r="I22" s="9">
        <f t="shared" si="0"/>
        <v>13</v>
      </c>
      <c r="J22" s="21" t="s">
        <v>9</v>
      </c>
      <c r="K22" s="32"/>
    </row>
    <row r="23" spans="1:11" ht="17.25" customHeight="1" thickBot="1">
      <c r="A23" s="161">
        <v>19</v>
      </c>
      <c r="B23" s="162"/>
      <c r="C23" s="31" t="s">
        <v>55</v>
      </c>
      <c r="D23" s="28">
        <v>10</v>
      </c>
      <c r="E23" s="15" t="s">
        <v>9</v>
      </c>
      <c r="F23" s="8">
        <v>1</v>
      </c>
      <c r="G23" s="8">
        <v>3</v>
      </c>
      <c r="H23" s="8">
        <v>6</v>
      </c>
      <c r="I23" s="9">
        <f t="shared" si="0"/>
        <v>10</v>
      </c>
      <c r="J23" s="21" t="s">
        <v>9</v>
      </c>
      <c r="K23" s="35" t="s">
        <v>11</v>
      </c>
    </row>
    <row r="24" spans="1:11" ht="18" customHeight="1" thickBot="1">
      <c r="A24" s="161">
        <v>20</v>
      </c>
      <c r="B24" s="162"/>
      <c r="C24" s="31" t="s">
        <v>43</v>
      </c>
      <c r="D24" s="27">
        <v>5</v>
      </c>
      <c r="E24" s="15" t="s">
        <v>9</v>
      </c>
      <c r="F24" s="8" t="s">
        <v>9</v>
      </c>
      <c r="G24" s="8" t="s">
        <v>9</v>
      </c>
      <c r="H24" s="8">
        <v>5</v>
      </c>
      <c r="I24" s="9">
        <f t="shared" si="0"/>
        <v>5</v>
      </c>
      <c r="J24" s="21" t="s">
        <v>9</v>
      </c>
      <c r="K24" s="32"/>
    </row>
    <row r="25" spans="1:11" ht="18.75" customHeight="1" thickBot="1">
      <c r="A25" s="161">
        <v>21</v>
      </c>
      <c r="B25" s="162"/>
      <c r="C25" s="31" t="s">
        <v>44</v>
      </c>
      <c r="D25" s="27">
        <v>9</v>
      </c>
      <c r="E25" s="15" t="s">
        <v>9</v>
      </c>
      <c r="F25" s="15" t="s">
        <v>9</v>
      </c>
      <c r="G25" s="8" t="s">
        <v>9</v>
      </c>
      <c r="H25" s="8">
        <v>9</v>
      </c>
      <c r="I25" s="9">
        <f t="shared" si="0"/>
        <v>9</v>
      </c>
      <c r="J25" s="21" t="s">
        <v>9</v>
      </c>
      <c r="K25" s="32"/>
    </row>
    <row r="26" spans="1:11" ht="30" customHeight="1" thickBot="1">
      <c r="A26" s="161">
        <v>22</v>
      </c>
      <c r="B26" s="162"/>
      <c r="C26" s="31" t="s">
        <v>45</v>
      </c>
      <c r="D26" s="24">
        <v>1</v>
      </c>
      <c r="E26" s="15" t="s">
        <v>9</v>
      </c>
      <c r="F26" s="8" t="s">
        <v>9</v>
      </c>
      <c r="G26" s="8" t="s">
        <v>9</v>
      </c>
      <c r="H26" s="8">
        <v>1</v>
      </c>
      <c r="I26" s="9">
        <f t="shared" si="0"/>
        <v>1</v>
      </c>
      <c r="J26" s="21" t="s">
        <v>9</v>
      </c>
      <c r="K26" s="32"/>
    </row>
    <row r="27" spans="1:11" ht="30.75" customHeight="1" thickBot="1">
      <c r="A27" s="161">
        <v>23</v>
      </c>
      <c r="B27" s="162"/>
      <c r="C27" s="31" t="s">
        <v>46</v>
      </c>
      <c r="D27" s="19" t="s">
        <v>49</v>
      </c>
      <c r="E27" s="15" t="s">
        <v>9</v>
      </c>
      <c r="F27" s="8" t="s">
        <v>9</v>
      </c>
      <c r="G27" s="8">
        <v>100</v>
      </c>
      <c r="H27" s="8" t="s">
        <v>9</v>
      </c>
      <c r="I27" s="9">
        <f t="shared" si="0"/>
        <v>100</v>
      </c>
      <c r="J27" s="21" t="s">
        <v>9</v>
      </c>
      <c r="K27" s="32"/>
    </row>
    <row r="28" spans="1:11" ht="30.75" customHeight="1" thickBot="1">
      <c r="A28" s="161">
        <v>24</v>
      </c>
      <c r="B28" s="162"/>
      <c r="C28" s="31" t="s">
        <v>47</v>
      </c>
      <c r="D28" s="24">
        <v>16</v>
      </c>
      <c r="E28" s="15" t="s">
        <v>9</v>
      </c>
      <c r="F28" s="8" t="s">
        <v>9</v>
      </c>
      <c r="G28" s="8" t="s">
        <v>9</v>
      </c>
      <c r="H28" s="8">
        <v>16</v>
      </c>
      <c r="I28" s="9">
        <f t="shared" si="0"/>
        <v>16</v>
      </c>
      <c r="J28" s="21" t="s">
        <v>9</v>
      </c>
      <c r="K28" s="32"/>
    </row>
    <row r="29" spans="1:11" ht="18.75" customHeight="1" thickBot="1">
      <c r="A29" s="198" t="s">
        <v>59</v>
      </c>
      <c r="B29" s="199"/>
      <c r="C29" s="199"/>
      <c r="D29" s="199"/>
      <c r="E29" s="199"/>
      <c r="F29" s="199"/>
      <c r="G29" s="199"/>
      <c r="H29" s="199"/>
      <c r="I29" s="199"/>
      <c r="J29" s="199"/>
      <c r="K29" s="200"/>
    </row>
    <row r="30" spans="1:11" ht="16.5" customHeight="1">
      <c r="A30" s="167">
        <v>1</v>
      </c>
      <c r="B30" s="193" t="s">
        <v>12</v>
      </c>
      <c r="C30" s="193"/>
      <c r="D30" s="193"/>
      <c r="E30" s="194"/>
      <c r="F30" s="194"/>
      <c r="G30" s="194"/>
      <c r="H30" s="195"/>
      <c r="I30" s="194">
        <v>20</v>
      </c>
      <c r="J30" s="194"/>
      <c r="K30" s="175"/>
    </row>
    <row r="31" spans="1:11" ht="16.5" customHeight="1" thickBot="1">
      <c r="A31" s="168"/>
      <c r="B31" s="196" t="s">
        <v>13</v>
      </c>
      <c r="C31" s="196"/>
      <c r="D31" s="196"/>
      <c r="E31" s="192"/>
      <c r="F31" s="192"/>
      <c r="G31" s="192"/>
      <c r="H31" s="197"/>
      <c r="I31" s="192"/>
      <c r="J31" s="192"/>
      <c r="K31" s="176"/>
    </row>
    <row r="32" spans="1:11" ht="16.5" customHeight="1">
      <c r="A32" s="167">
        <v>2</v>
      </c>
      <c r="B32" s="189" t="s">
        <v>14</v>
      </c>
      <c r="C32" s="189"/>
      <c r="D32" s="189"/>
      <c r="E32" s="190"/>
      <c r="F32" s="190"/>
      <c r="G32" s="190"/>
      <c r="H32" s="191"/>
      <c r="I32" s="190">
        <v>10</v>
      </c>
      <c r="J32" s="190"/>
      <c r="K32" s="175"/>
    </row>
    <row r="33" spans="1:11" ht="30.75" customHeight="1" thickBot="1">
      <c r="A33" s="168"/>
      <c r="B33" s="196" t="s">
        <v>15</v>
      </c>
      <c r="C33" s="196"/>
      <c r="D33" s="196"/>
      <c r="E33" s="192"/>
      <c r="F33" s="192"/>
      <c r="G33" s="192"/>
      <c r="H33" s="197"/>
      <c r="I33" s="192"/>
      <c r="J33" s="192"/>
      <c r="K33" s="176"/>
    </row>
    <row r="34" spans="1:11" ht="16.5" customHeight="1" thickBot="1">
      <c r="A34" s="18">
        <v>3</v>
      </c>
      <c r="B34" s="197" t="s">
        <v>16</v>
      </c>
      <c r="C34" s="197"/>
      <c r="D34" s="197"/>
      <c r="E34" s="206"/>
      <c r="F34" s="206"/>
      <c r="G34" s="206"/>
      <c r="H34" s="197"/>
      <c r="I34" s="192">
        <v>10</v>
      </c>
      <c r="J34" s="192"/>
      <c r="K34" s="32"/>
    </row>
    <row r="35" spans="1:11" ht="29.25" customHeight="1" thickBot="1">
      <c r="A35" s="18">
        <v>4</v>
      </c>
      <c r="B35" s="201" t="s">
        <v>17</v>
      </c>
      <c r="C35" s="201"/>
      <c r="D35" s="201"/>
      <c r="E35" s="202"/>
      <c r="F35" s="202"/>
      <c r="G35" s="202"/>
      <c r="H35" s="201"/>
      <c r="I35" s="203">
        <v>12</v>
      </c>
      <c r="J35" s="203"/>
      <c r="K35" s="32"/>
    </row>
    <row r="36" spans="1:11" ht="16.5" customHeight="1" thickBot="1">
      <c r="A36" s="36">
        <v>5</v>
      </c>
      <c r="B36" s="201" t="s">
        <v>56</v>
      </c>
      <c r="C36" s="201"/>
      <c r="D36" s="201"/>
      <c r="E36" s="202"/>
      <c r="F36" s="202"/>
      <c r="G36" s="202"/>
      <c r="H36" s="201"/>
      <c r="I36" s="204" t="s">
        <v>18</v>
      </c>
      <c r="J36" s="190"/>
      <c r="K36" s="175"/>
    </row>
    <row r="37" spans="1:11" ht="16.5" customHeight="1" thickBot="1">
      <c r="A37" s="37"/>
      <c r="B37" s="201"/>
      <c r="C37" s="201"/>
      <c r="D37" s="201"/>
      <c r="E37" s="202"/>
      <c r="F37" s="202"/>
      <c r="G37" s="202"/>
      <c r="H37" s="201"/>
      <c r="I37" s="203"/>
      <c r="J37" s="203"/>
      <c r="K37" s="176"/>
    </row>
    <row r="38" spans="1:11" ht="16.5" customHeight="1" thickBot="1">
      <c r="A38" s="18">
        <v>6</v>
      </c>
      <c r="B38" s="205" t="s">
        <v>57</v>
      </c>
      <c r="C38" s="205"/>
      <c r="D38" s="205"/>
      <c r="E38" s="206"/>
      <c r="F38" s="206"/>
      <c r="G38" s="206"/>
      <c r="H38" s="205"/>
      <c r="I38" s="207" t="s">
        <v>18</v>
      </c>
      <c r="J38" s="192"/>
      <c r="K38" s="32"/>
    </row>
    <row r="39" spans="1:11" ht="16.5" customHeight="1" thickBot="1">
      <c r="A39" s="18">
        <v>7</v>
      </c>
      <c r="B39" s="197" t="s">
        <v>19</v>
      </c>
      <c r="C39" s="197"/>
      <c r="D39" s="197"/>
      <c r="E39" s="206"/>
      <c r="F39" s="206"/>
      <c r="G39" s="206"/>
      <c r="H39" s="197"/>
      <c r="I39" s="207" t="s">
        <v>20</v>
      </c>
      <c r="J39" s="192"/>
      <c r="K39" s="32"/>
    </row>
    <row r="40" spans="1:11" ht="16.5" customHeight="1">
      <c r="A40" s="167">
        <v>8</v>
      </c>
      <c r="B40" s="189" t="s">
        <v>21</v>
      </c>
      <c r="C40" s="189"/>
      <c r="D40" s="189"/>
      <c r="E40" s="190"/>
      <c r="F40" s="190"/>
      <c r="G40" s="190"/>
      <c r="H40" s="191"/>
      <c r="I40" s="190">
        <v>150</v>
      </c>
      <c r="J40" s="190"/>
      <c r="K40" s="175"/>
    </row>
    <row r="41" spans="1:11" ht="16.5" customHeight="1" thickBot="1">
      <c r="A41" s="168"/>
      <c r="B41" s="196" t="s">
        <v>22</v>
      </c>
      <c r="C41" s="196"/>
      <c r="D41" s="196"/>
      <c r="E41" s="192"/>
      <c r="F41" s="192"/>
      <c r="G41" s="192"/>
      <c r="H41" s="197"/>
      <c r="I41" s="192"/>
      <c r="J41" s="192"/>
      <c r="K41" s="176"/>
    </row>
    <row r="42" spans="1:11" ht="16.5" customHeight="1" thickBot="1">
      <c r="A42" s="18">
        <v>9</v>
      </c>
      <c r="B42" s="197" t="s">
        <v>23</v>
      </c>
      <c r="C42" s="197"/>
      <c r="D42" s="197"/>
      <c r="E42" s="206"/>
      <c r="F42" s="206"/>
      <c r="G42" s="206"/>
      <c r="H42" s="197"/>
      <c r="I42" s="207" t="s">
        <v>20</v>
      </c>
      <c r="J42" s="192"/>
      <c r="K42" s="32"/>
    </row>
    <row r="43" spans="1:11" ht="16.5" customHeight="1" thickBot="1">
      <c r="A43" s="18">
        <v>9</v>
      </c>
      <c r="B43" s="197" t="s">
        <v>24</v>
      </c>
      <c r="C43" s="197"/>
      <c r="D43" s="197"/>
      <c r="E43" s="206"/>
      <c r="F43" s="206"/>
      <c r="G43" s="206"/>
      <c r="H43" s="197"/>
      <c r="I43" s="207" t="s">
        <v>20</v>
      </c>
      <c r="J43" s="192"/>
      <c r="K43" s="32"/>
    </row>
    <row r="44" spans="1:11" ht="15.75" customHeight="1" thickBot="1">
      <c r="A44" s="38"/>
      <c r="B44" s="161" t="s">
        <v>50</v>
      </c>
      <c r="C44" s="214"/>
      <c r="D44" s="162"/>
      <c r="E44" s="206" t="s">
        <v>51</v>
      </c>
      <c r="F44" s="206"/>
      <c r="G44" s="206"/>
      <c r="H44" s="206" t="s">
        <v>52</v>
      </c>
      <c r="I44" s="206"/>
      <c r="J44" s="192"/>
      <c r="K44" s="32"/>
    </row>
    <row r="45" spans="1:11" ht="46.5" customHeight="1" thickBot="1">
      <c r="A45" s="29"/>
      <c r="B45" s="208"/>
      <c r="C45" s="209"/>
      <c r="D45" s="210"/>
      <c r="E45" s="211"/>
      <c r="F45" s="211"/>
      <c r="G45" s="211"/>
      <c r="H45" s="212"/>
      <c r="I45" s="212"/>
      <c r="J45" s="213"/>
      <c r="K45" s="7"/>
    </row>
    <row r="47" spans="1:11">
      <c r="A47" s="5" t="s">
        <v>25</v>
      </c>
    </row>
  </sheetData>
  <mergeCells count="81">
    <mergeCell ref="B45:D45"/>
    <mergeCell ref="E45:G45"/>
    <mergeCell ref="H45:J45"/>
    <mergeCell ref="B42:H42"/>
    <mergeCell ref="I42:J42"/>
    <mergeCell ref="B43:H43"/>
    <mergeCell ref="I43:J43"/>
    <mergeCell ref="B44:D44"/>
    <mergeCell ref="E44:G44"/>
    <mergeCell ref="H44:J44"/>
    <mergeCell ref="B34:H34"/>
    <mergeCell ref="I34:J34"/>
    <mergeCell ref="A40:A41"/>
    <mergeCell ref="B40:H40"/>
    <mergeCell ref="I40:J41"/>
    <mergeCell ref="K40:K41"/>
    <mergeCell ref="B41:H41"/>
    <mergeCell ref="B35:H35"/>
    <mergeCell ref="I35:J35"/>
    <mergeCell ref="B36:H37"/>
    <mergeCell ref="I36:J37"/>
    <mergeCell ref="K36:K37"/>
    <mergeCell ref="B38:H38"/>
    <mergeCell ref="I38:J38"/>
    <mergeCell ref="B39:H39"/>
    <mergeCell ref="I39:J39"/>
    <mergeCell ref="A32:A33"/>
    <mergeCell ref="B32:H32"/>
    <mergeCell ref="I32:J33"/>
    <mergeCell ref="K32:K33"/>
    <mergeCell ref="A24:B24"/>
    <mergeCell ref="A30:A31"/>
    <mergeCell ref="B30:H30"/>
    <mergeCell ref="I30:J31"/>
    <mergeCell ref="K30:K31"/>
    <mergeCell ref="B31:H31"/>
    <mergeCell ref="A25:B25"/>
    <mergeCell ref="A26:B26"/>
    <mergeCell ref="A27:B27"/>
    <mergeCell ref="A28:B28"/>
    <mergeCell ref="A29:K29"/>
    <mergeCell ref="B33:H33"/>
    <mergeCell ref="A20:B20"/>
    <mergeCell ref="A21:B21"/>
    <mergeCell ref="A22:B22"/>
    <mergeCell ref="A23:B23"/>
    <mergeCell ref="K16:K17"/>
    <mergeCell ref="A18:B18"/>
    <mergeCell ref="A16:B17"/>
    <mergeCell ref="C16:C17"/>
    <mergeCell ref="D16:D17"/>
    <mergeCell ref="E16:E17"/>
    <mergeCell ref="F16:F17"/>
    <mergeCell ref="G16:G17"/>
    <mergeCell ref="H16:H17"/>
    <mergeCell ref="I16:I17"/>
    <mergeCell ref="J16:J17"/>
    <mergeCell ref="A19:B19"/>
    <mergeCell ref="G14:G15"/>
    <mergeCell ref="H14:H15"/>
    <mergeCell ref="I14:I15"/>
    <mergeCell ref="J14:J15"/>
    <mergeCell ref="K14:K15"/>
    <mergeCell ref="F14:F15"/>
    <mergeCell ref="A13:B13"/>
    <mergeCell ref="A14:B15"/>
    <mergeCell ref="C14:C15"/>
    <mergeCell ref="D14:D15"/>
    <mergeCell ref="E14:E15"/>
    <mergeCell ref="A12:B12"/>
    <mergeCell ref="A1:K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4803149606299213" right="0.74803149606299213" top="0.98425196850393704" bottom="0.98425196850393704" header="0.51181102362204722" footer="0.51181102362204722"/>
  <pageSetup paperSize="9" scale="78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A010-B3E7-429D-93EC-797BD4988A78}">
  <dimension ref="A1:AN40"/>
  <sheetViews>
    <sheetView tabSelected="1" zoomScale="90" zoomScaleNormal="90" workbookViewId="0">
      <pane ySplit="2" topLeftCell="A3" activePane="bottomLeft" state="frozen"/>
      <selection pane="bottomLeft" activeCell="L18" sqref="L18"/>
    </sheetView>
  </sheetViews>
  <sheetFormatPr defaultColWidth="9.140625" defaultRowHeight="15"/>
  <cols>
    <col min="1" max="1" width="3.5703125" customWidth="1"/>
    <col min="2" max="2" width="1.85546875" customWidth="1"/>
    <col min="3" max="3" width="29.85546875" customWidth="1"/>
    <col min="4" max="4" width="7.7109375" style="1" customWidth="1"/>
    <col min="5" max="5" width="5" style="1" customWidth="1"/>
    <col min="6" max="6" width="6.7109375" style="1" bestFit="1" customWidth="1"/>
    <col min="7" max="7" width="5.5703125" style="1" customWidth="1"/>
    <col min="8" max="8" width="6.42578125" customWidth="1"/>
    <col min="9" max="9" width="6.140625" customWidth="1"/>
    <col min="10" max="10" width="11" customWidth="1"/>
    <col min="11" max="11" width="20.42578125" customWidth="1"/>
    <col min="12" max="12" width="9.85546875" customWidth="1"/>
    <col min="13" max="13" width="10.85546875" bestFit="1" customWidth="1"/>
    <col min="14" max="14" width="16.5703125" customWidth="1"/>
    <col min="15" max="15" width="10.140625" customWidth="1"/>
    <col min="16" max="16" width="11.140625" customWidth="1"/>
  </cols>
  <sheetData>
    <row r="1" spans="1:16" ht="20.25" customHeight="1" thickBot="1">
      <c r="A1" s="248" t="s">
        <v>145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</row>
    <row r="2" spans="1:16" ht="31.5" customHeight="1" thickBot="1">
      <c r="A2" s="164"/>
      <c r="B2" s="165"/>
      <c r="C2" s="16" t="s">
        <v>1</v>
      </c>
      <c r="D2" s="16" t="s">
        <v>26</v>
      </c>
      <c r="E2" s="3" t="s">
        <v>2</v>
      </c>
      <c r="F2" s="3" t="s">
        <v>3</v>
      </c>
      <c r="G2" s="3" t="s">
        <v>4</v>
      </c>
      <c r="H2" s="3" t="s">
        <v>5</v>
      </c>
      <c r="I2" s="115" t="s">
        <v>6</v>
      </c>
      <c r="J2" s="6" t="s">
        <v>7</v>
      </c>
      <c r="K2" s="2" t="s">
        <v>8</v>
      </c>
      <c r="N2" s="130" t="s">
        <v>86</v>
      </c>
      <c r="O2" s="131" t="s">
        <v>63</v>
      </c>
    </row>
    <row r="3" spans="1:16" ht="15.75" customHeight="1" thickBot="1">
      <c r="A3" s="161">
        <v>1</v>
      </c>
      <c r="B3" s="162"/>
      <c r="C3" s="31" t="s">
        <v>37</v>
      </c>
      <c r="D3" s="23">
        <v>1</v>
      </c>
      <c r="E3" s="8" t="s">
        <v>9</v>
      </c>
      <c r="F3" s="8" t="s">
        <v>9</v>
      </c>
      <c r="G3" s="8">
        <v>1</v>
      </c>
      <c r="H3" s="8" t="s">
        <v>9</v>
      </c>
      <c r="I3" s="9">
        <f>SUM(E3:H3)</f>
        <v>1</v>
      </c>
      <c r="J3" s="21"/>
      <c r="K3" s="74"/>
      <c r="N3" s="132" t="s">
        <v>65</v>
      </c>
      <c r="O3" s="153" t="s">
        <v>9</v>
      </c>
    </row>
    <row r="4" spans="1:16" ht="15.75" customHeight="1" thickBot="1">
      <c r="A4" s="161">
        <v>2</v>
      </c>
      <c r="B4" s="162"/>
      <c r="C4" s="31" t="s">
        <v>36</v>
      </c>
      <c r="D4" s="23">
        <v>108</v>
      </c>
      <c r="E4" s="8">
        <v>15</v>
      </c>
      <c r="F4" s="8">
        <v>4</v>
      </c>
      <c r="G4" s="8">
        <v>20</v>
      </c>
      <c r="H4" s="8">
        <v>69</v>
      </c>
      <c r="I4" s="9">
        <f>SUM(E4:H4)</f>
        <v>108</v>
      </c>
      <c r="J4" s="21" t="s">
        <v>9</v>
      </c>
      <c r="K4" s="75" t="s">
        <v>142</v>
      </c>
      <c r="N4" s="133" t="s">
        <v>66</v>
      </c>
      <c r="O4" s="154" t="s">
        <v>9</v>
      </c>
      <c r="P4" s="88"/>
    </row>
    <row r="5" spans="1:16" ht="15.75" customHeight="1" thickBot="1">
      <c r="A5" s="161">
        <v>3</v>
      </c>
      <c r="B5" s="162"/>
      <c r="C5" s="31" t="s">
        <v>107</v>
      </c>
      <c r="D5" s="23">
        <v>341</v>
      </c>
      <c r="E5" s="8">
        <v>20</v>
      </c>
      <c r="F5" s="8">
        <v>80</v>
      </c>
      <c r="G5" s="8">
        <v>76</v>
      </c>
      <c r="H5" s="8">
        <v>165</v>
      </c>
      <c r="I5" s="9">
        <f>SUM(E5:H5)</f>
        <v>341</v>
      </c>
      <c r="J5" s="116">
        <v>150</v>
      </c>
      <c r="K5" s="75"/>
      <c r="N5" s="134" t="s">
        <v>105</v>
      </c>
      <c r="O5" s="154" t="s">
        <v>9</v>
      </c>
    </row>
    <row r="6" spans="1:16" ht="15.75" customHeight="1" thickBot="1">
      <c r="A6" s="161">
        <v>4</v>
      </c>
      <c r="B6" s="162"/>
      <c r="C6" s="31" t="s">
        <v>34</v>
      </c>
      <c r="D6" s="23">
        <v>35</v>
      </c>
      <c r="E6" s="8">
        <v>6</v>
      </c>
      <c r="F6" s="8" t="s">
        <v>9</v>
      </c>
      <c r="G6" s="8">
        <v>4</v>
      </c>
      <c r="H6" s="8">
        <v>60</v>
      </c>
      <c r="I6" s="9">
        <f t="shared" ref="I6:I10" si="0">SUM(E6:H6)</f>
        <v>70</v>
      </c>
      <c r="J6" s="21" t="s">
        <v>9</v>
      </c>
      <c r="K6" s="99"/>
      <c r="N6" s="134" t="s">
        <v>104</v>
      </c>
      <c r="O6" s="149" t="s">
        <v>9</v>
      </c>
    </row>
    <row r="7" spans="1:16" ht="14.25" customHeight="1" thickBot="1">
      <c r="A7" s="161">
        <v>5</v>
      </c>
      <c r="B7" s="162"/>
      <c r="C7" s="31" t="s">
        <v>82</v>
      </c>
      <c r="D7" s="23">
        <v>90</v>
      </c>
      <c r="E7" s="8" t="s">
        <v>9</v>
      </c>
      <c r="F7" s="8">
        <v>6</v>
      </c>
      <c r="G7" s="8">
        <v>21</v>
      </c>
      <c r="H7" s="8">
        <v>63</v>
      </c>
      <c r="I7" s="9">
        <f>SUM(E7:H7)</f>
        <v>90</v>
      </c>
      <c r="J7" s="21" t="s">
        <v>9</v>
      </c>
      <c r="K7" s="151"/>
      <c r="M7" s="86"/>
      <c r="N7" s="135" t="s">
        <v>106</v>
      </c>
      <c r="O7" s="136" t="s">
        <v>9</v>
      </c>
    </row>
    <row r="8" spans="1:16" ht="15.75" customHeight="1" thickBot="1">
      <c r="A8" s="161">
        <v>6</v>
      </c>
      <c r="B8" s="162"/>
      <c r="C8" s="33" t="s">
        <v>41</v>
      </c>
      <c r="D8" s="27">
        <v>1</v>
      </c>
      <c r="E8" s="15" t="s">
        <v>9</v>
      </c>
      <c r="F8" s="8" t="s">
        <v>9</v>
      </c>
      <c r="G8" s="8" t="s">
        <v>9</v>
      </c>
      <c r="H8" s="8">
        <v>1</v>
      </c>
      <c r="I8" s="9">
        <f>SUM(E8:H8)</f>
        <v>1</v>
      </c>
      <c r="J8" s="21" t="s">
        <v>9</v>
      </c>
      <c r="K8" s="75"/>
      <c r="N8" s="137"/>
      <c r="O8" s="138"/>
    </row>
    <row r="9" spans="1:16" ht="22.5" customHeight="1" thickBot="1">
      <c r="A9" s="161">
        <v>7</v>
      </c>
      <c r="B9" s="162"/>
      <c r="C9" s="31" t="s">
        <v>30</v>
      </c>
      <c r="D9" s="23">
        <v>2</v>
      </c>
      <c r="E9" s="8" t="s">
        <v>9</v>
      </c>
      <c r="F9" s="8">
        <v>1</v>
      </c>
      <c r="G9" s="8" t="s">
        <v>9</v>
      </c>
      <c r="H9" s="8">
        <v>1</v>
      </c>
      <c r="I9" s="9">
        <f>SUM(E9:H9)</f>
        <v>2</v>
      </c>
      <c r="J9" s="21" t="s">
        <v>9</v>
      </c>
      <c r="K9" s="75" t="s">
        <v>140</v>
      </c>
      <c r="N9" s="139" t="s">
        <v>69</v>
      </c>
      <c r="O9" s="140">
        <v>66</v>
      </c>
    </row>
    <row r="10" spans="1:16" ht="21.75" customHeight="1" thickBot="1">
      <c r="A10" s="161">
        <v>8</v>
      </c>
      <c r="B10" s="162"/>
      <c r="C10" s="31" t="s">
        <v>42</v>
      </c>
      <c r="D10" s="23">
        <v>6</v>
      </c>
      <c r="E10" s="8" t="s">
        <v>9</v>
      </c>
      <c r="F10" s="8">
        <v>6</v>
      </c>
      <c r="G10" s="8" t="s">
        <v>9</v>
      </c>
      <c r="H10" s="8">
        <v>0</v>
      </c>
      <c r="I10" s="9">
        <f t="shared" si="0"/>
        <v>6</v>
      </c>
      <c r="J10" s="21" t="s">
        <v>9</v>
      </c>
      <c r="K10" s="151" t="s">
        <v>144</v>
      </c>
      <c r="N10" s="127" t="s">
        <v>70</v>
      </c>
      <c r="O10" s="128">
        <f>SUM(O3:O9)</f>
        <v>66</v>
      </c>
    </row>
    <row r="11" spans="1:16" ht="15.75" customHeight="1" thickBot="1">
      <c r="A11" s="161">
        <v>9</v>
      </c>
      <c r="B11" s="162"/>
      <c r="C11" s="40" t="s">
        <v>108</v>
      </c>
      <c r="D11" s="41">
        <v>2</v>
      </c>
      <c r="E11" s="42" t="s">
        <v>9</v>
      </c>
      <c r="F11" s="43">
        <v>2</v>
      </c>
      <c r="G11" s="8" t="s">
        <v>9</v>
      </c>
      <c r="H11" s="45">
        <v>0</v>
      </c>
      <c r="I11" s="45">
        <f>SUM(E11:H11)</f>
        <v>2</v>
      </c>
      <c r="J11" s="42" t="s">
        <v>9</v>
      </c>
      <c r="K11" s="75" t="s">
        <v>139</v>
      </c>
    </row>
    <row r="12" spans="1:16" ht="15.75" customHeight="1" thickBot="1">
      <c r="A12" s="161">
        <v>10</v>
      </c>
      <c r="B12" s="162"/>
      <c r="C12" s="31" t="s">
        <v>109</v>
      </c>
      <c r="D12" s="23">
        <v>28</v>
      </c>
      <c r="E12" s="8">
        <v>6</v>
      </c>
      <c r="F12" s="8" t="s">
        <v>9</v>
      </c>
      <c r="G12" s="8">
        <v>6</v>
      </c>
      <c r="H12" s="8">
        <v>16</v>
      </c>
      <c r="I12" s="9">
        <f>SUM(E12,F12,G12,H12)</f>
        <v>28</v>
      </c>
      <c r="J12" s="21" t="s">
        <v>9</v>
      </c>
      <c r="K12" s="75"/>
      <c r="N12" s="229" t="s">
        <v>85</v>
      </c>
      <c r="O12" s="246" t="s">
        <v>63</v>
      </c>
      <c r="P12" s="245"/>
    </row>
    <row r="13" spans="1:16" ht="15.75" customHeight="1" thickBot="1">
      <c r="A13" s="161">
        <v>11</v>
      </c>
      <c r="B13" s="162"/>
      <c r="C13" s="17" t="s">
        <v>31</v>
      </c>
      <c r="D13" s="25">
        <v>3</v>
      </c>
      <c r="E13" s="8" t="s">
        <v>9</v>
      </c>
      <c r="F13" s="8">
        <v>1</v>
      </c>
      <c r="G13" s="8">
        <v>1</v>
      </c>
      <c r="H13" s="8">
        <v>1</v>
      </c>
      <c r="I13" s="9">
        <f>SUM(E13,F13,G13,H13)</f>
        <v>3</v>
      </c>
      <c r="J13" s="21" t="s">
        <v>9</v>
      </c>
      <c r="K13" s="75" t="s">
        <v>140</v>
      </c>
      <c r="N13" s="230"/>
      <c r="O13" s="247"/>
      <c r="P13" s="245"/>
    </row>
    <row r="14" spans="1:16" ht="15.75" customHeight="1" thickBot="1">
      <c r="A14" s="161">
        <v>12</v>
      </c>
      <c r="B14" s="162"/>
      <c r="C14" s="34" t="s">
        <v>93</v>
      </c>
      <c r="D14" s="30">
        <v>6</v>
      </c>
      <c r="E14" s="12" t="s">
        <v>9</v>
      </c>
      <c r="F14" s="12">
        <v>1</v>
      </c>
      <c r="G14" s="12" t="s">
        <v>9</v>
      </c>
      <c r="H14" s="12">
        <v>5</v>
      </c>
      <c r="I14" s="13">
        <f t="shared" ref="I14:I15" si="1">SUM(E14:H14)</f>
        <v>6</v>
      </c>
      <c r="J14" s="22" t="s">
        <v>9</v>
      </c>
      <c r="K14" s="75"/>
      <c r="N14" s="141" t="s">
        <v>65</v>
      </c>
      <c r="O14" s="142">
        <v>6</v>
      </c>
    </row>
    <row r="15" spans="1:16" ht="16.5" customHeight="1" thickBot="1">
      <c r="A15" s="161">
        <v>13</v>
      </c>
      <c r="B15" s="162"/>
      <c r="C15" s="85" t="s">
        <v>91</v>
      </c>
      <c r="D15" s="84">
        <v>2</v>
      </c>
      <c r="E15" s="12" t="s">
        <v>9</v>
      </c>
      <c r="F15" s="12" t="s">
        <v>9</v>
      </c>
      <c r="G15" s="12" t="s">
        <v>9</v>
      </c>
      <c r="H15" s="12">
        <v>2</v>
      </c>
      <c r="I15" s="13">
        <f t="shared" si="1"/>
        <v>2</v>
      </c>
      <c r="J15" s="22" t="s">
        <v>9</v>
      </c>
      <c r="K15" s="75"/>
      <c r="N15" s="143" t="s">
        <v>66</v>
      </c>
      <c r="O15" s="150">
        <v>6</v>
      </c>
    </row>
    <row r="16" spans="1:16" ht="15.75" customHeight="1" thickBot="1">
      <c r="A16" s="161">
        <v>14</v>
      </c>
      <c r="B16" s="162"/>
      <c r="C16" s="31" t="s">
        <v>92</v>
      </c>
      <c r="D16" s="23">
        <v>4</v>
      </c>
      <c r="E16" s="8" t="s">
        <v>9</v>
      </c>
      <c r="F16" s="8" t="s">
        <v>9</v>
      </c>
      <c r="G16" s="8">
        <v>3</v>
      </c>
      <c r="H16" s="8">
        <v>1</v>
      </c>
      <c r="I16" s="9">
        <f>SUM(E16:H16)</f>
        <v>4</v>
      </c>
      <c r="J16" s="21" t="s">
        <v>9</v>
      </c>
      <c r="K16" s="75"/>
      <c r="N16" s="145" t="s">
        <v>105</v>
      </c>
      <c r="O16" s="144">
        <v>6</v>
      </c>
    </row>
    <row r="17" spans="1:15" ht="15.75" customHeight="1" thickBot="1">
      <c r="A17" s="161">
        <v>15</v>
      </c>
      <c r="B17" s="162"/>
      <c r="C17" s="31" t="s">
        <v>28</v>
      </c>
      <c r="D17" s="25">
        <v>15</v>
      </c>
      <c r="E17" s="8" t="s">
        <v>9</v>
      </c>
      <c r="F17" s="8" t="s">
        <v>9</v>
      </c>
      <c r="G17" s="42">
        <v>4</v>
      </c>
      <c r="H17" s="11">
        <v>11</v>
      </c>
      <c r="I17" s="9">
        <f>SUM(E17:H17)</f>
        <v>15</v>
      </c>
      <c r="J17" s="21" t="s">
        <v>9</v>
      </c>
      <c r="K17" s="75"/>
      <c r="N17" s="145" t="s">
        <v>104</v>
      </c>
      <c r="O17" s="146">
        <v>4</v>
      </c>
    </row>
    <row r="18" spans="1:15" ht="15.75" customHeight="1" thickBot="1">
      <c r="A18" s="161">
        <v>16</v>
      </c>
      <c r="B18" s="162"/>
      <c r="C18" s="34" t="s">
        <v>40</v>
      </c>
      <c r="D18" s="26">
        <v>4</v>
      </c>
      <c r="E18" s="14" t="s">
        <v>9</v>
      </c>
      <c r="F18" s="14" t="s">
        <v>9</v>
      </c>
      <c r="G18" s="14" t="s">
        <v>9</v>
      </c>
      <c r="H18" s="14">
        <v>4</v>
      </c>
      <c r="I18" s="13">
        <f t="shared" ref="I18" si="2">SUM(E18:H18)</f>
        <v>4</v>
      </c>
      <c r="J18" s="22" t="s">
        <v>9</v>
      </c>
      <c r="K18" s="87"/>
      <c r="N18" s="147" t="s">
        <v>117</v>
      </c>
      <c r="O18" s="155" t="s">
        <v>9</v>
      </c>
    </row>
    <row r="19" spans="1:15" ht="19.5" customHeight="1" thickBot="1">
      <c r="A19" s="236">
        <v>17</v>
      </c>
      <c r="B19" s="237"/>
      <c r="C19" s="118" t="s">
        <v>27</v>
      </c>
      <c r="D19" s="119">
        <v>70</v>
      </c>
      <c r="E19" s="120" t="s">
        <v>9</v>
      </c>
      <c r="F19" s="120">
        <v>8</v>
      </c>
      <c r="G19" s="120" t="s">
        <v>9</v>
      </c>
      <c r="H19" s="120">
        <v>62</v>
      </c>
      <c r="I19" s="120">
        <f t="shared" ref="I19:I20" si="3">SUM(E19:H19)</f>
        <v>70</v>
      </c>
      <c r="J19" s="121" t="s">
        <v>9</v>
      </c>
      <c r="K19" s="99" t="s">
        <v>114</v>
      </c>
      <c r="M19" t="s">
        <v>25</v>
      </c>
      <c r="N19" s="148" t="s">
        <v>71</v>
      </c>
      <c r="O19" s="140">
        <v>48</v>
      </c>
    </row>
    <row r="20" spans="1:15" ht="17.25" customHeight="1" thickBot="1">
      <c r="A20" s="161">
        <v>18</v>
      </c>
      <c r="B20" s="162"/>
      <c r="C20" s="108" t="s">
        <v>126</v>
      </c>
      <c r="D20" s="23">
        <v>35</v>
      </c>
      <c r="E20" s="122" t="s">
        <v>9</v>
      </c>
      <c r="F20" s="124" t="s">
        <v>9</v>
      </c>
      <c r="G20" s="8" t="s">
        <v>9</v>
      </c>
      <c r="H20" s="8">
        <v>35</v>
      </c>
      <c r="I20" s="9">
        <f t="shared" si="3"/>
        <v>35</v>
      </c>
      <c r="J20" s="21" t="s">
        <v>9</v>
      </c>
      <c r="K20" s="102"/>
      <c r="N20" s="129" t="s">
        <v>70</v>
      </c>
      <c r="O20" s="126">
        <f>SUM(O12:O19)</f>
        <v>70</v>
      </c>
    </row>
    <row r="21" spans="1:15" ht="17.25" customHeight="1" thickBot="1">
      <c r="A21" s="240">
        <v>19</v>
      </c>
      <c r="B21" s="240"/>
      <c r="C21" s="31" t="s">
        <v>53</v>
      </c>
      <c r="D21" s="23">
        <v>13</v>
      </c>
      <c r="E21" s="123" t="s">
        <v>9</v>
      </c>
      <c r="F21" s="125">
        <v>2</v>
      </c>
      <c r="G21" s="8">
        <v>11</v>
      </c>
      <c r="H21" s="8" t="s">
        <v>9</v>
      </c>
      <c r="I21" s="9">
        <v>13</v>
      </c>
      <c r="J21" s="21" t="s">
        <v>9</v>
      </c>
      <c r="K21" s="102"/>
    </row>
    <row r="22" spans="1:15" ht="24.75" thickBot="1">
      <c r="A22" s="161">
        <v>20</v>
      </c>
      <c r="B22" s="162"/>
      <c r="C22" s="31" t="s">
        <v>55</v>
      </c>
      <c r="D22" s="80">
        <v>10</v>
      </c>
      <c r="E22" s="15" t="s">
        <v>9</v>
      </c>
      <c r="F22" s="8" t="s">
        <v>9</v>
      </c>
      <c r="G22" s="8">
        <v>7</v>
      </c>
      <c r="H22" s="8">
        <v>3</v>
      </c>
      <c r="I22" s="9">
        <v>12</v>
      </c>
      <c r="J22" s="42">
        <v>2</v>
      </c>
      <c r="K22" s="111" t="s">
        <v>143</v>
      </c>
      <c r="L22" s="101"/>
      <c r="M22" s="89"/>
    </row>
    <row r="23" spans="1:15" ht="15.75" customHeight="1" thickBot="1">
      <c r="A23" s="161">
        <v>21</v>
      </c>
      <c r="B23" s="162"/>
      <c r="C23" s="31" t="s">
        <v>90</v>
      </c>
      <c r="D23" s="27">
        <v>5</v>
      </c>
      <c r="E23" s="15" t="s">
        <v>9</v>
      </c>
      <c r="F23" s="8" t="s">
        <v>9</v>
      </c>
      <c r="G23" s="8" t="s">
        <v>9</v>
      </c>
      <c r="H23" s="8">
        <v>5</v>
      </c>
      <c r="I23" s="9">
        <f t="shared" ref="I23:I28" si="4">SUM(E23:H23)</f>
        <v>5</v>
      </c>
      <c r="J23" s="117" t="s">
        <v>9</v>
      </c>
      <c r="K23" s="75"/>
    </row>
    <row r="24" spans="1:15" ht="15.75" customHeight="1" thickBot="1">
      <c r="A24" s="161">
        <v>22</v>
      </c>
      <c r="B24" s="162"/>
      <c r="C24" s="31" t="s">
        <v>88</v>
      </c>
      <c r="D24" s="27">
        <v>9</v>
      </c>
      <c r="E24" s="15" t="s">
        <v>9</v>
      </c>
      <c r="F24" s="15" t="s">
        <v>9</v>
      </c>
      <c r="G24" s="8" t="s">
        <v>9</v>
      </c>
      <c r="H24" s="8">
        <v>9</v>
      </c>
      <c r="I24" s="9">
        <f t="shared" si="4"/>
        <v>9</v>
      </c>
      <c r="J24" s="21" t="s">
        <v>9</v>
      </c>
      <c r="K24" s="74"/>
      <c r="M24" s="90"/>
    </row>
    <row r="25" spans="1:15" ht="15.75" customHeight="1" thickBot="1">
      <c r="A25" s="161">
        <v>23</v>
      </c>
      <c r="B25" s="162"/>
      <c r="C25" s="31" t="s">
        <v>89</v>
      </c>
      <c r="D25" s="24">
        <v>1</v>
      </c>
      <c r="E25" s="15" t="s">
        <v>9</v>
      </c>
      <c r="F25" s="8" t="s">
        <v>9</v>
      </c>
      <c r="G25" s="8" t="s">
        <v>9</v>
      </c>
      <c r="H25" s="8">
        <v>1</v>
      </c>
      <c r="I25" s="9">
        <f t="shared" si="4"/>
        <v>1</v>
      </c>
      <c r="J25" s="21" t="s">
        <v>9</v>
      </c>
      <c r="K25" s="75"/>
    </row>
    <row r="26" spans="1:15" ht="15.75" customHeight="1" thickBot="1">
      <c r="A26" s="161">
        <v>24</v>
      </c>
      <c r="B26" s="162"/>
      <c r="C26" s="31" t="s">
        <v>46</v>
      </c>
      <c r="D26" s="19" t="s">
        <v>49</v>
      </c>
      <c r="E26" s="15" t="s">
        <v>9</v>
      </c>
      <c r="F26" s="8" t="s">
        <v>9</v>
      </c>
      <c r="G26" s="8">
        <v>100</v>
      </c>
      <c r="H26" s="8">
        <v>509</v>
      </c>
      <c r="I26" s="9">
        <f t="shared" si="4"/>
        <v>609</v>
      </c>
      <c r="J26" s="21" t="s">
        <v>9</v>
      </c>
      <c r="K26" s="75"/>
    </row>
    <row r="27" spans="1:15" ht="15.75" customHeight="1" thickBot="1">
      <c r="A27" s="161">
        <v>25</v>
      </c>
      <c r="B27" s="162"/>
      <c r="C27" s="31" t="s">
        <v>87</v>
      </c>
      <c r="D27" s="27">
        <v>10</v>
      </c>
      <c r="E27" s="15" t="s">
        <v>9</v>
      </c>
      <c r="F27" s="8" t="s">
        <v>9</v>
      </c>
      <c r="G27" s="8" t="s">
        <v>9</v>
      </c>
      <c r="H27" s="8">
        <v>10</v>
      </c>
      <c r="I27" s="9">
        <f t="shared" si="4"/>
        <v>10</v>
      </c>
      <c r="J27" s="21" t="s">
        <v>9</v>
      </c>
      <c r="K27" s="75"/>
    </row>
    <row r="28" spans="1:15" ht="15.75" customHeight="1" thickBot="1">
      <c r="A28" s="161">
        <v>26</v>
      </c>
      <c r="B28" s="162"/>
      <c r="C28" s="64" t="s">
        <v>116</v>
      </c>
      <c r="D28" s="24">
        <v>16</v>
      </c>
      <c r="E28" s="15" t="s">
        <v>9</v>
      </c>
      <c r="F28" s="8"/>
      <c r="G28" s="8" t="s">
        <v>9</v>
      </c>
      <c r="H28" s="8"/>
      <c r="I28" s="9">
        <f t="shared" si="4"/>
        <v>0</v>
      </c>
      <c r="J28" s="21" t="s">
        <v>9</v>
      </c>
      <c r="K28" s="75" t="s">
        <v>115</v>
      </c>
    </row>
    <row r="29" spans="1:15" ht="21" customHeight="1" thickBot="1">
      <c r="A29" s="233" t="s">
        <v>95</v>
      </c>
      <c r="B29" s="234"/>
      <c r="C29" s="234"/>
      <c r="D29" s="234"/>
      <c r="E29" s="234"/>
      <c r="F29" s="234"/>
      <c r="G29" s="234"/>
      <c r="H29" s="234"/>
      <c r="I29" s="234"/>
      <c r="J29" s="234"/>
      <c r="K29" s="235"/>
    </row>
    <row r="30" spans="1:15" ht="16.5" customHeight="1">
      <c r="A30" s="238">
        <v>1</v>
      </c>
      <c r="B30" s="241" t="s">
        <v>131</v>
      </c>
      <c r="C30" s="241"/>
      <c r="D30" s="241"/>
      <c r="E30" s="241"/>
      <c r="F30" s="241"/>
      <c r="G30" s="241"/>
      <c r="H30" s="242"/>
      <c r="I30" s="220"/>
      <c r="J30" s="221"/>
      <c r="K30" s="231"/>
    </row>
    <row r="31" spans="1:15" ht="4.5" customHeight="1" thickBot="1">
      <c r="A31" s="239"/>
      <c r="B31" s="243"/>
      <c r="C31" s="243"/>
      <c r="D31" s="243"/>
      <c r="E31" s="243"/>
      <c r="F31" s="243"/>
      <c r="G31" s="243"/>
      <c r="H31" s="244"/>
      <c r="I31" s="222"/>
      <c r="J31" s="223"/>
      <c r="K31" s="232"/>
      <c r="L31" s="78"/>
    </row>
    <row r="32" spans="1:15" ht="21.75" customHeight="1" thickBot="1">
      <c r="A32" s="93">
        <v>2</v>
      </c>
      <c r="B32" s="224" t="s">
        <v>132</v>
      </c>
      <c r="C32" s="225"/>
      <c r="D32" s="225"/>
      <c r="E32" s="225"/>
      <c r="F32" s="225"/>
      <c r="G32" s="225"/>
      <c r="H32" s="226"/>
      <c r="I32" s="227"/>
      <c r="J32" s="228"/>
      <c r="K32" s="95"/>
    </row>
    <row r="33" spans="1:40" ht="21.75" customHeight="1" thickBot="1">
      <c r="A33" s="93">
        <v>3</v>
      </c>
      <c r="B33" s="249" t="s">
        <v>133</v>
      </c>
      <c r="C33" s="250"/>
      <c r="D33" s="250"/>
      <c r="E33" s="250"/>
      <c r="F33" s="250"/>
      <c r="G33" s="250"/>
      <c r="H33" s="251"/>
      <c r="I33" s="227">
        <v>2</v>
      </c>
      <c r="J33" s="228"/>
      <c r="K33" s="95"/>
      <c r="M33" s="152"/>
    </row>
    <row r="34" spans="1:40" ht="21.75" customHeight="1" thickBot="1">
      <c r="A34" s="93">
        <v>4</v>
      </c>
      <c r="B34" s="215" t="s">
        <v>134</v>
      </c>
      <c r="C34" s="216"/>
      <c r="D34" s="216"/>
      <c r="E34" s="216"/>
      <c r="F34" s="216"/>
      <c r="G34" s="216"/>
      <c r="H34" s="217"/>
      <c r="I34" s="218" t="s">
        <v>9</v>
      </c>
      <c r="J34" s="219"/>
      <c r="K34" s="156"/>
      <c r="M34" s="152"/>
    </row>
    <row r="35" spans="1:40" ht="21.75" customHeight="1" thickBot="1">
      <c r="A35" s="93">
        <v>5</v>
      </c>
      <c r="B35" s="215" t="s">
        <v>135</v>
      </c>
      <c r="C35" s="216"/>
      <c r="D35" s="216"/>
      <c r="E35" s="216"/>
      <c r="F35" s="216"/>
      <c r="G35" s="216"/>
      <c r="H35" s="216"/>
      <c r="I35" s="252">
        <v>20</v>
      </c>
      <c r="J35" s="253"/>
      <c r="K35" s="158" t="s">
        <v>136</v>
      </c>
      <c r="M35" s="152"/>
    </row>
    <row r="36" spans="1:40" ht="21.75" customHeight="1" thickBot="1">
      <c r="A36" s="93">
        <v>6</v>
      </c>
      <c r="B36" s="157"/>
      <c r="C36" s="216" t="s">
        <v>137</v>
      </c>
      <c r="D36" s="216"/>
      <c r="E36" s="216"/>
      <c r="F36" s="216"/>
      <c r="G36" s="216"/>
      <c r="H36" s="216"/>
      <c r="I36" s="266">
        <v>1</v>
      </c>
      <c r="J36" s="266"/>
      <c r="K36" s="159" t="s">
        <v>138</v>
      </c>
      <c r="M36" s="152"/>
    </row>
    <row r="37" spans="1:40" ht="21.75" customHeight="1" thickBot="1">
      <c r="A37" s="93">
        <v>7</v>
      </c>
      <c r="B37" s="157"/>
      <c r="C37" s="216" t="s">
        <v>141</v>
      </c>
      <c r="D37" s="216"/>
      <c r="E37" s="216"/>
      <c r="F37" s="216"/>
      <c r="G37" s="216"/>
      <c r="H37" s="216"/>
      <c r="I37" s="266">
        <v>1</v>
      </c>
      <c r="J37" s="266"/>
      <c r="K37" s="160">
        <v>46062</v>
      </c>
      <c r="M37" s="152"/>
    </row>
    <row r="38" spans="1:40" ht="28.5" customHeight="1" thickBot="1">
      <c r="A38" s="93">
        <v>8</v>
      </c>
      <c r="B38" s="249" t="s">
        <v>129</v>
      </c>
      <c r="C38" s="250"/>
      <c r="D38" s="250"/>
      <c r="E38" s="250"/>
      <c r="F38" s="250"/>
      <c r="G38" s="250"/>
      <c r="H38" s="251"/>
      <c r="I38" s="263" t="s">
        <v>130</v>
      </c>
      <c r="J38" s="264"/>
      <c r="K38" s="265"/>
    </row>
    <row r="39" spans="1:40" s="56" customFormat="1" ht="18.75" customHeight="1" thickBot="1">
      <c r="A39" s="96"/>
      <c r="B39" s="97"/>
      <c r="C39" s="98" t="s">
        <v>103</v>
      </c>
      <c r="D39" s="260" t="s">
        <v>84</v>
      </c>
      <c r="E39" s="261"/>
      <c r="F39" s="261"/>
      <c r="G39" s="262"/>
      <c r="H39" s="260" t="s">
        <v>83</v>
      </c>
      <c r="I39" s="261"/>
      <c r="J39" s="262"/>
      <c r="K39" s="92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</row>
    <row r="40" spans="1:40" ht="45.75" customHeight="1" thickBot="1">
      <c r="A40" s="254"/>
      <c r="B40" s="255"/>
      <c r="C40" s="256"/>
      <c r="D40" s="257"/>
      <c r="E40" s="257"/>
      <c r="F40" s="257"/>
      <c r="G40" s="258"/>
      <c r="H40" s="259"/>
      <c r="I40" s="257"/>
      <c r="J40" s="258"/>
      <c r="K40" s="79"/>
    </row>
  </sheetData>
  <mergeCells count="55">
    <mergeCell ref="B35:H35"/>
    <mergeCell ref="I35:J35"/>
    <mergeCell ref="A40:C40"/>
    <mergeCell ref="D40:G40"/>
    <mergeCell ref="H40:J40"/>
    <mergeCell ref="D39:G39"/>
    <mergeCell ref="H39:J39"/>
    <mergeCell ref="I38:K38"/>
    <mergeCell ref="B38:H38"/>
    <mergeCell ref="C36:H36"/>
    <mergeCell ref="I36:J36"/>
    <mergeCell ref="C37:H37"/>
    <mergeCell ref="I37:J37"/>
    <mergeCell ref="A6:B6"/>
    <mergeCell ref="B33:H33"/>
    <mergeCell ref="I33:J33"/>
    <mergeCell ref="A23:B23"/>
    <mergeCell ref="A24:B24"/>
    <mergeCell ref="A25:B25"/>
    <mergeCell ref="A26:B26"/>
    <mergeCell ref="A27:B27"/>
    <mergeCell ref="A28:B28"/>
    <mergeCell ref="A7:B7"/>
    <mergeCell ref="A8:B8"/>
    <mergeCell ref="A9:B9"/>
    <mergeCell ref="A10:B10"/>
    <mergeCell ref="A12:B12"/>
    <mergeCell ref="A11:B11"/>
    <mergeCell ref="A17:B17"/>
    <mergeCell ref="A1:K1"/>
    <mergeCell ref="A2:B2"/>
    <mergeCell ref="A3:B3"/>
    <mergeCell ref="A4:B4"/>
    <mergeCell ref="A5:B5"/>
    <mergeCell ref="P12:P13"/>
    <mergeCell ref="A13:B13"/>
    <mergeCell ref="O12:O13"/>
    <mergeCell ref="A14:B14"/>
    <mergeCell ref="A15:B15"/>
    <mergeCell ref="A16:B16"/>
    <mergeCell ref="N12:N13"/>
    <mergeCell ref="K30:K31"/>
    <mergeCell ref="A29:K29"/>
    <mergeCell ref="A19:B19"/>
    <mergeCell ref="A20:B20"/>
    <mergeCell ref="A30:A31"/>
    <mergeCell ref="A21:B21"/>
    <mergeCell ref="B30:H31"/>
    <mergeCell ref="B34:H34"/>
    <mergeCell ref="I34:J34"/>
    <mergeCell ref="A18:B18"/>
    <mergeCell ref="A22:B22"/>
    <mergeCell ref="I30:J31"/>
    <mergeCell ref="B32:H32"/>
    <mergeCell ref="I32:J32"/>
  </mergeCells>
  <phoneticPr fontId="49" type="noConversion"/>
  <pageMargins left="0.74803149606299213" right="0.74803149606299213" top="0.98425196850393704" bottom="0.98425196850393704" header="0.51181102362204722" footer="0.51181102362204722"/>
  <pageSetup paperSize="9" scale="80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E336-C225-4A5D-B7CB-46DE3835A75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8E74-7D63-4027-8522-E8F0ED2FB0FE}">
  <dimension ref="A1:AN44"/>
  <sheetViews>
    <sheetView zoomScaleNormal="100" workbookViewId="0">
      <pane ySplit="2" topLeftCell="A12" activePane="bottomLeft" state="frozen"/>
      <selection pane="bottomLeft" activeCell="D44" sqref="D44:G44"/>
    </sheetView>
  </sheetViews>
  <sheetFormatPr defaultColWidth="9.140625" defaultRowHeight="15"/>
  <cols>
    <col min="1" max="1" width="3" customWidth="1"/>
    <col min="2" max="2" width="1.85546875" customWidth="1"/>
    <col min="3" max="3" width="30.42578125" customWidth="1"/>
    <col min="4" max="4" width="7.7109375" style="1" customWidth="1"/>
    <col min="5" max="5" width="6.28515625" style="1" customWidth="1"/>
    <col min="6" max="6" width="6.7109375" style="1" customWidth="1"/>
    <col min="7" max="7" width="7.42578125" style="1" customWidth="1"/>
    <col min="8" max="8" width="8.42578125" customWidth="1"/>
    <col min="9" max="9" width="7.5703125" customWidth="1"/>
    <col min="10" max="10" width="8.28515625" customWidth="1"/>
    <col min="11" max="11" width="19.7109375" customWidth="1"/>
    <col min="12" max="12" width="9.85546875" customWidth="1"/>
    <col min="14" max="14" width="16.5703125" customWidth="1"/>
    <col min="15" max="15" width="13.42578125" customWidth="1"/>
    <col min="16" max="16" width="11.140625" customWidth="1"/>
  </cols>
  <sheetData>
    <row r="1" spans="1:16" ht="20.25" customHeight="1" thickBot="1">
      <c r="A1" s="248" t="s">
        <v>127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</row>
    <row r="2" spans="1:16" ht="31.5" customHeight="1" thickBot="1">
      <c r="A2" s="164" t="s">
        <v>96</v>
      </c>
      <c r="B2" s="165"/>
      <c r="C2" s="16" t="s">
        <v>1</v>
      </c>
      <c r="D2" s="16" t="s">
        <v>26</v>
      </c>
      <c r="E2" s="3" t="s">
        <v>2</v>
      </c>
      <c r="F2" s="3" t="s">
        <v>3</v>
      </c>
      <c r="G2" s="3" t="s">
        <v>4</v>
      </c>
      <c r="H2" s="3" t="s">
        <v>5</v>
      </c>
      <c r="I2" s="2" t="s">
        <v>6</v>
      </c>
      <c r="J2" s="6" t="s">
        <v>7</v>
      </c>
      <c r="K2" s="2" t="s">
        <v>8</v>
      </c>
      <c r="N2" s="82" t="s">
        <v>86</v>
      </c>
      <c r="O2" s="77" t="s">
        <v>63</v>
      </c>
    </row>
    <row r="3" spans="1:16" ht="16.5" customHeight="1" thickBot="1">
      <c r="A3" s="161">
        <v>1</v>
      </c>
      <c r="B3" s="162"/>
      <c r="C3" s="31" t="s">
        <v>37</v>
      </c>
      <c r="D3" s="23">
        <v>1</v>
      </c>
      <c r="E3" s="8" t="s">
        <v>9</v>
      </c>
      <c r="F3" s="8" t="s">
        <v>9</v>
      </c>
      <c r="G3" s="8">
        <v>1</v>
      </c>
      <c r="H3" s="8" t="s">
        <v>9</v>
      </c>
      <c r="I3" s="9">
        <f t="shared" ref="I3" si="0">SUM(E3:H3)</f>
        <v>1</v>
      </c>
      <c r="J3" s="21" t="s">
        <v>9</v>
      </c>
      <c r="K3" s="74"/>
      <c r="N3" s="51" t="s">
        <v>65</v>
      </c>
      <c r="O3" s="52">
        <v>9</v>
      </c>
    </row>
    <row r="4" spans="1:16" ht="16.5" customHeight="1" thickBot="1">
      <c r="A4" s="161">
        <v>2</v>
      </c>
      <c r="B4" s="162"/>
      <c r="C4" s="31" t="s">
        <v>36</v>
      </c>
      <c r="D4" s="23">
        <v>153</v>
      </c>
      <c r="E4" s="8">
        <v>15</v>
      </c>
      <c r="F4" s="8">
        <v>12</v>
      </c>
      <c r="G4" s="8">
        <v>17</v>
      </c>
      <c r="H4" s="8">
        <v>109</v>
      </c>
      <c r="I4" s="9">
        <f t="shared" ref="I4:I10" si="1">SUM(E4:H4)</f>
        <v>153</v>
      </c>
      <c r="J4" s="21" t="s">
        <v>124</v>
      </c>
      <c r="K4" s="75"/>
      <c r="N4" s="50" t="s">
        <v>66</v>
      </c>
      <c r="O4" s="48">
        <v>9</v>
      </c>
      <c r="P4" s="88"/>
    </row>
    <row r="5" spans="1:16" ht="16.5" customHeight="1" thickBot="1">
      <c r="A5" s="161">
        <v>3</v>
      </c>
      <c r="B5" s="162"/>
      <c r="C5" s="31" t="s">
        <v>107</v>
      </c>
      <c r="D5" s="23">
        <v>341</v>
      </c>
      <c r="E5" s="8">
        <v>20</v>
      </c>
      <c r="F5" s="8">
        <v>12</v>
      </c>
      <c r="G5" s="8">
        <v>46</v>
      </c>
      <c r="H5" s="8">
        <v>263</v>
      </c>
      <c r="I5" s="9">
        <f t="shared" si="1"/>
        <v>341</v>
      </c>
      <c r="J5" s="21">
        <v>150</v>
      </c>
      <c r="K5" s="75"/>
      <c r="N5" s="48" t="s">
        <v>69</v>
      </c>
      <c r="O5" s="48">
        <v>51</v>
      </c>
    </row>
    <row r="6" spans="1:16" ht="16.5" customHeight="1" thickBot="1">
      <c r="A6" s="161">
        <v>4</v>
      </c>
      <c r="B6" s="162"/>
      <c r="C6" s="31" t="s">
        <v>34</v>
      </c>
      <c r="D6" s="23">
        <v>35</v>
      </c>
      <c r="E6" s="8">
        <v>6</v>
      </c>
      <c r="F6" s="8" t="s">
        <v>9</v>
      </c>
      <c r="G6" s="8">
        <v>4</v>
      </c>
      <c r="H6" s="8">
        <v>25</v>
      </c>
      <c r="I6" s="9">
        <f t="shared" si="1"/>
        <v>35</v>
      </c>
      <c r="J6" s="21" t="s">
        <v>9</v>
      </c>
      <c r="K6" s="99"/>
      <c r="N6" s="53" t="s">
        <v>70</v>
      </c>
      <c r="O6" s="81">
        <f>SUM(O3:O5)</f>
        <v>69</v>
      </c>
    </row>
    <row r="7" spans="1:16" ht="17.100000000000001" customHeight="1" thickBot="1">
      <c r="A7" s="161">
        <v>5</v>
      </c>
      <c r="B7" s="162"/>
      <c r="C7" s="31" t="s">
        <v>82</v>
      </c>
      <c r="D7" s="23">
        <v>90</v>
      </c>
      <c r="E7" s="8" t="s">
        <v>9</v>
      </c>
      <c r="F7" s="8">
        <v>17</v>
      </c>
      <c r="G7" s="8">
        <v>17</v>
      </c>
      <c r="H7" s="8">
        <v>56</v>
      </c>
      <c r="I7" s="9">
        <f t="shared" si="1"/>
        <v>90</v>
      </c>
      <c r="J7" s="21" t="s">
        <v>9</v>
      </c>
      <c r="K7" s="75"/>
      <c r="M7" s="86"/>
    </row>
    <row r="8" spans="1:16" ht="17.100000000000001" customHeight="1" thickBot="1">
      <c r="A8" s="161">
        <v>6</v>
      </c>
      <c r="B8" s="162"/>
      <c r="C8" s="33" t="s">
        <v>41</v>
      </c>
      <c r="D8" s="27">
        <v>2</v>
      </c>
      <c r="E8" s="15" t="s">
        <v>9</v>
      </c>
      <c r="F8" s="8" t="s">
        <v>9</v>
      </c>
      <c r="G8" s="8" t="s">
        <v>9</v>
      </c>
      <c r="H8" s="8">
        <v>2</v>
      </c>
      <c r="I8" s="9">
        <f t="shared" si="1"/>
        <v>2</v>
      </c>
      <c r="J8" s="21">
        <v>1</v>
      </c>
      <c r="K8" s="75"/>
    </row>
    <row r="9" spans="1:16" ht="17.100000000000001" customHeight="1" thickBot="1">
      <c r="A9" s="161">
        <v>7</v>
      </c>
      <c r="B9" s="162"/>
      <c r="C9" s="31" t="s">
        <v>30</v>
      </c>
      <c r="D9" s="23">
        <v>3</v>
      </c>
      <c r="E9" s="8" t="s">
        <v>9</v>
      </c>
      <c r="F9" s="8" t="s">
        <v>9</v>
      </c>
      <c r="G9" s="8" t="s">
        <v>9</v>
      </c>
      <c r="H9" s="8">
        <v>3</v>
      </c>
      <c r="I9" s="9">
        <f t="shared" si="1"/>
        <v>3</v>
      </c>
      <c r="J9" s="21">
        <v>1</v>
      </c>
      <c r="K9" s="75"/>
    </row>
    <row r="10" spans="1:16" ht="17.100000000000001" customHeight="1" thickBot="1">
      <c r="A10" s="161">
        <v>8</v>
      </c>
      <c r="B10" s="162"/>
      <c r="C10" s="31" t="s">
        <v>42</v>
      </c>
      <c r="D10" s="23">
        <v>3</v>
      </c>
      <c r="E10" s="8" t="s">
        <v>9</v>
      </c>
      <c r="F10" s="8" t="s">
        <v>9</v>
      </c>
      <c r="G10" s="8" t="s">
        <v>9</v>
      </c>
      <c r="H10" s="8">
        <v>3</v>
      </c>
      <c r="I10" s="9">
        <f t="shared" si="1"/>
        <v>3</v>
      </c>
      <c r="J10" s="21" t="s">
        <v>9</v>
      </c>
      <c r="K10" s="75"/>
      <c r="N10" s="268" t="s">
        <v>85</v>
      </c>
      <c r="O10" s="270" t="s">
        <v>63</v>
      </c>
    </row>
    <row r="11" spans="1:16" ht="16.5" customHeight="1" thickBot="1">
      <c r="A11" s="161">
        <v>9</v>
      </c>
      <c r="B11" s="162"/>
      <c r="C11" s="40" t="s">
        <v>108</v>
      </c>
      <c r="D11" s="41">
        <v>4</v>
      </c>
      <c r="E11" s="42" t="s">
        <v>9</v>
      </c>
      <c r="F11" s="43" t="s">
        <v>9</v>
      </c>
      <c r="G11" s="8" t="s">
        <v>9</v>
      </c>
      <c r="H11" s="45">
        <v>4</v>
      </c>
      <c r="I11" s="45">
        <f>SUM(E11,F11,G11,H11)</f>
        <v>4</v>
      </c>
      <c r="J11" s="42">
        <v>2</v>
      </c>
      <c r="K11" s="75"/>
      <c r="N11" s="269"/>
      <c r="O11" s="271"/>
    </row>
    <row r="12" spans="1:16" ht="16.5" customHeight="1" thickBot="1">
      <c r="A12" s="161">
        <v>10</v>
      </c>
      <c r="B12" s="162"/>
      <c r="C12" s="31" t="s">
        <v>109</v>
      </c>
      <c r="D12" s="23">
        <v>28</v>
      </c>
      <c r="E12" s="8">
        <v>6</v>
      </c>
      <c r="F12" s="8" t="s">
        <v>9</v>
      </c>
      <c r="G12" s="8" t="s">
        <v>9</v>
      </c>
      <c r="H12" s="8">
        <v>22</v>
      </c>
      <c r="I12" s="9">
        <f>SUM(E12,F12,G12,H12)</f>
        <v>28</v>
      </c>
      <c r="J12" s="21" t="s">
        <v>9</v>
      </c>
      <c r="K12" s="75"/>
      <c r="N12" s="83" t="s">
        <v>65</v>
      </c>
      <c r="O12" s="52">
        <v>6</v>
      </c>
      <c r="P12" s="267"/>
    </row>
    <row r="13" spans="1:16" ht="16.5" customHeight="1" thickBot="1">
      <c r="A13" s="161">
        <v>11</v>
      </c>
      <c r="B13" s="162"/>
      <c r="C13" s="17" t="s">
        <v>31</v>
      </c>
      <c r="D13" s="25">
        <v>4</v>
      </c>
      <c r="E13" s="8" t="s">
        <v>9</v>
      </c>
      <c r="F13" s="8" t="s">
        <v>9</v>
      </c>
      <c r="G13" s="8">
        <v>1</v>
      </c>
      <c r="H13" s="8">
        <v>3</v>
      </c>
      <c r="I13" s="9">
        <f>SUM(E13:H13)</f>
        <v>4</v>
      </c>
      <c r="J13" s="21">
        <v>1</v>
      </c>
      <c r="K13" s="75"/>
      <c r="N13" s="51" t="s">
        <v>66</v>
      </c>
      <c r="O13" s="48">
        <v>6</v>
      </c>
      <c r="P13" s="267"/>
    </row>
    <row r="14" spans="1:16" ht="16.5" customHeight="1" thickBot="1">
      <c r="A14" s="161">
        <v>12</v>
      </c>
      <c r="B14" s="162"/>
      <c r="C14" s="34" t="s">
        <v>93</v>
      </c>
      <c r="D14" s="30">
        <v>6</v>
      </c>
      <c r="E14" s="12" t="s">
        <v>9</v>
      </c>
      <c r="F14" s="12">
        <v>1</v>
      </c>
      <c r="G14" s="12">
        <v>1</v>
      </c>
      <c r="H14" s="12">
        <v>4</v>
      </c>
      <c r="I14" s="13">
        <f t="shared" ref="I14:I15" si="2">SUM(E14:H14)</f>
        <v>6</v>
      </c>
      <c r="J14" s="22" t="s">
        <v>9</v>
      </c>
      <c r="K14" s="75"/>
      <c r="N14" s="70" t="s">
        <v>75</v>
      </c>
      <c r="O14" s="48">
        <v>0</v>
      </c>
    </row>
    <row r="15" spans="1:16" ht="16.5" customHeight="1" thickBot="1">
      <c r="A15" s="161">
        <v>13</v>
      </c>
      <c r="B15" s="162"/>
      <c r="C15" s="85" t="s">
        <v>91</v>
      </c>
      <c r="D15" s="84">
        <v>2</v>
      </c>
      <c r="E15" s="12" t="s">
        <v>9</v>
      </c>
      <c r="F15" s="12" t="s">
        <v>9</v>
      </c>
      <c r="G15" s="12" t="s">
        <v>9</v>
      </c>
      <c r="H15" s="12">
        <v>2</v>
      </c>
      <c r="I15" s="13">
        <f t="shared" si="2"/>
        <v>2</v>
      </c>
      <c r="J15" s="22" t="s">
        <v>9</v>
      </c>
      <c r="K15" s="75"/>
      <c r="N15" s="58" t="s">
        <v>71</v>
      </c>
      <c r="O15" s="54">
        <v>58</v>
      </c>
    </row>
    <row r="16" spans="1:16" ht="17.100000000000001" customHeight="1" thickBot="1">
      <c r="A16" s="161">
        <v>14</v>
      </c>
      <c r="B16" s="162"/>
      <c r="C16" s="31" t="s">
        <v>92</v>
      </c>
      <c r="D16" s="23">
        <v>4</v>
      </c>
      <c r="E16" s="8" t="s">
        <v>9</v>
      </c>
      <c r="F16" s="8" t="str">
        <f>'Sheet1 (5)'!E28</f>
        <v>-</v>
      </c>
      <c r="G16" s="8">
        <v>3</v>
      </c>
      <c r="H16" s="8">
        <v>1</v>
      </c>
      <c r="I16" s="9">
        <f>SUM(E16:H16)</f>
        <v>4</v>
      </c>
      <c r="J16" s="21" t="s">
        <v>9</v>
      </c>
      <c r="K16" s="75"/>
      <c r="N16" s="53" t="s">
        <v>70</v>
      </c>
      <c r="O16" s="81">
        <f>SUM(O12:O15)</f>
        <v>70</v>
      </c>
    </row>
    <row r="17" spans="1:13" ht="16.5" customHeight="1" thickBot="1">
      <c r="A17" s="161">
        <v>15</v>
      </c>
      <c r="B17" s="162"/>
      <c r="C17" s="31" t="s">
        <v>28</v>
      </c>
      <c r="D17" s="25">
        <v>15</v>
      </c>
      <c r="E17" s="8" t="s">
        <v>9</v>
      </c>
      <c r="F17" s="8" t="s">
        <v>9</v>
      </c>
      <c r="G17" s="42">
        <v>3</v>
      </c>
      <c r="H17" s="11">
        <v>12</v>
      </c>
      <c r="I17" s="9">
        <f>SUM(E17:H17)</f>
        <v>15</v>
      </c>
      <c r="J17" s="21" t="s">
        <v>9</v>
      </c>
      <c r="K17" s="75"/>
    </row>
    <row r="18" spans="1:13" ht="16.5" customHeight="1" thickBot="1">
      <c r="A18" s="161">
        <v>16</v>
      </c>
      <c r="B18" s="162"/>
      <c r="C18" s="34" t="s">
        <v>40</v>
      </c>
      <c r="D18" s="26">
        <v>4</v>
      </c>
      <c r="E18" s="14" t="s">
        <v>9</v>
      </c>
      <c r="F18" s="14" t="s">
        <v>9</v>
      </c>
      <c r="G18" s="14" t="s">
        <v>9</v>
      </c>
      <c r="H18" s="14">
        <v>4</v>
      </c>
      <c r="I18" s="13">
        <f t="shared" ref="I18" si="3">SUM(E18:H18)</f>
        <v>4</v>
      </c>
      <c r="J18" s="22" t="s">
        <v>9</v>
      </c>
      <c r="K18" s="87"/>
    </row>
    <row r="19" spans="1:13" ht="16.5" customHeight="1" thickBot="1">
      <c r="A19" s="236">
        <v>17</v>
      </c>
      <c r="B19" s="237"/>
      <c r="C19" s="103" t="s">
        <v>27</v>
      </c>
      <c r="D19" s="104">
        <v>70</v>
      </c>
      <c r="E19" s="105" t="s">
        <v>9</v>
      </c>
      <c r="F19" s="105">
        <v>8</v>
      </c>
      <c r="G19" s="105" t="s">
        <v>9</v>
      </c>
      <c r="H19" s="105">
        <v>62</v>
      </c>
      <c r="I19" s="105">
        <f>SUM(E19:H19)</f>
        <v>70</v>
      </c>
      <c r="J19" s="106" t="s">
        <v>9</v>
      </c>
      <c r="K19" s="107" t="s">
        <v>114</v>
      </c>
      <c r="M19" t="s">
        <v>25</v>
      </c>
    </row>
    <row r="20" spans="1:13" ht="15" customHeight="1" thickBot="1">
      <c r="A20" s="161">
        <v>18</v>
      </c>
      <c r="B20" s="162"/>
      <c r="C20" s="108" t="s">
        <v>126</v>
      </c>
      <c r="D20" s="23">
        <v>35</v>
      </c>
      <c r="E20" s="109" t="s">
        <v>9</v>
      </c>
      <c r="F20" s="8" t="s">
        <v>9</v>
      </c>
      <c r="G20" s="8" t="s">
        <v>9</v>
      </c>
      <c r="H20" s="8">
        <v>35</v>
      </c>
      <c r="I20" s="9">
        <v>35</v>
      </c>
      <c r="J20" s="21"/>
      <c r="K20" s="102"/>
    </row>
    <row r="21" spans="1:13" ht="16.5" customHeight="1" thickBot="1">
      <c r="A21" s="161">
        <v>19</v>
      </c>
      <c r="B21" s="162"/>
      <c r="C21" s="31" t="s">
        <v>53</v>
      </c>
      <c r="D21" s="23">
        <v>13</v>
      </c>
      <c r="E21" s="110" t="s">
        <v>9</v>
      </c>
      <c r="F21" s="8" t="s">
        <v>9</v>
      </c>
      <c r="G21" s="8">
        <v>6</v>
      </c>
      <c r="H21" s="8">
        <v>7</v>
      </c>
      <c r="I21" s="9">
        <v>13</v>
      </c>
      <c r="J21" s="21"/>
      <c r="K21" s="102"/>
    </row>
    <row r="22" spans="1:13" ht="14.25" customHeight="1" thickBot="1">
      <c r="A22" s="161">
        <v>20</v>
      </c>
      <c r="B22" s="162"/>
      <c r="C22" s="31" t="s">
        <v>55</v>
      </c>
      <c r="D22" s="80">
        <v>10</v>
      </c>
      <c r="E22" s="15" t="s">
        <v>9</v>
      </c>
      <c r="F22" s="8">
        <v>1</v>
      </c>
      <c r="G22" s="8">
        <v>3</v>
      </c>
      <c r="H22" s="8">
        <v>6</v>
      </c>
      <c r="I22" s="9">
        <f>SUM(E22:H22)</f>
        <v>10</v>
      </c>
      <c r="J22" s="21" t="s">
        <v>9</v>
      </c>
      <c r="K22" s="111" t="s">
        <v>94</v>
      </c>
    </row>
    <row r="23" spans="1:13" ht="18.75" customHeight="1" thickBot="1">
      <c r="A23" s="161">
        <v>21</v>
      </c>
      <c r="B23" s="162"/>
      <c r="C23" s="31" t="s">
        <v>113</v>
      </c>
      <c r="D23" s="24">
        <v>16</v>
      </c>
      <c r="E23" s="15" t="s">
        <v>9</v>
      </c>
      <c r="F23" s="8">
        <v>2</v>
      </c>
      <c r="G23" s="8" t="s">
        <v>9</v>
      </c>
      <c r="H23" s="8">
        <v>14</v>
      </c>
      <c r="I23" s="9">
        <f>SUM(E23:H23)</f>
        <v>16</v>
      </c>
      <c r="J23" s="280" t="s">
        <v>128</v>
      </c>
      <c r="K23" s="281"/>
    </row>
    <row r="24" spans="1:13" ht="18" customHeight="1" thickBot="1">
      <c r="A24" s="161">
        <v>22</v>
      </c>
      <c r="B24" s="162"/>
      <c r="C24" s="31" t="s">
        <v>90</v>
      </c>
      <c r="D24" s="27">
        <v>5</v>
      </c>
      <c r="E24" s="15" t="s">
        <v>9</v>
      </c>
      <c r="F24" s="8" t="s">
        <v>9</v>
      </c>
      <c r="G24" s="8" t="s">
        <v>9</v>
      </c>
      <c r="H24" s="8">
        <v>5</v>
      </c>
      <c r="I24" s="110">
        <f t="shared" ref="I24:I29" si="4">SUM(E24:H24)</f>
        <v>5</v>
      </c>
      <c r="J24" s="60" t="s">
        <v>9</v>
      </c>
      <c r="K24" s="112"/>
      <c r="L24" s="89"/>
      <c r="M24" s="89"/>
    </row>
    <row r="25" spans="1:13" ht="18.95" customHeight="1" thickBot="1">
      <c r="A25" s="161">
        <v>23</v>
      </c>
      <c r="B25" s="162"/>
      <c r="C25" s="31" t="s">
        <v>88</v>
      </c>
      <c r="D25" s="27">
        <v>9</v>
      </c>
      <c r="E25" s="15" t="s">
        <v>9</v>
      </c>
      <c r="F25" s="15" t="s">
        <v>9</v>
      </c>
      <c r="G25" s="8" t="s">
        <v>9</v>
      </c>
      <c r="H25" s="8">
        <v>9</v>
      </c>
      <c r="I25" s="9">
        <f t="shared" si="4"/>
        <v>9</v>
      </c>
      <c r="J25" s="21" t="s">
        <v>9</v>
      </c>
      <c r="K25" s="75"/>
    </row>
    <row r="26" spans="1:13" ht="18.75" customHeight="1" thickBot="1">
      <c r="A26" s="161">
        <v>24</v>
      </c>
      <c r="B26" s="162"/>
      <c r="C26" s="31" t="s">
        <v>89</v>
      </c>
      <c r="D26" s="24">
        <v>1</v>
      </c>
      <c r="E26" s="15" t="s">
        <v>9</v>
      </c>
      <c r="F26" s="8" t="s">
        <v>9</v>
      </c>
      <c r="G26" s="8" t="s">
        <v>9</v>
      </c>
      <c r="H26" s="8">
        <v>1</v>
      </c>
      <c r="I26" s="9">
        <f t="shared" si="4"/>
        <v>1</v>
      </c>
      <c r="J26" s="21" t="s">
        <v>9</v>
      </c>
      <c r="K26" s="75"/>
      <c r="M26" s="90"/>
    </row>
    <row r="27" spans="1:13" ht="18" customHeight="1" thickBot="1">
      <c r="A27" s="161">
        <v>25</v>
      </c>
      <c r="B27" s="162"/>
      <c r="C27" s="31" t="s">
        <v>46</v>
      </c>
      <c r="D27" s="19" t="s">
        <v>49</v>
      </c>
      <c r="E27" s="15" t="s">
        <v>9</v>
      </c>
      <c r="F27" s="8" t="s">
        <v>9</v>
      </c>
      <c r="G27" s="8">
        <v>100</v>
      </c>
      <c r="H27" s="8">
        <v>509</v>
      </c>
      <c r="I27" s="9">
        <f t="shared" si="4"/>
        <v>609</v>
      </c>
      <c r="J27" s="21" t="s">
        <v>9</v>
      </c>
      <c r="K27" s="75"/>
    </row>
    <row r="28" spans="1:13" ht="18.75" customHeight="1" thickBot="1">
      <c r="A28" s="161">
        <v>26</v>
      </c>
      <c r="B28" s="162"/>
      <c r="C28" s="31" t="s">
        <v>87</v>
      </c>
      <c r="D28" s="27">
        <v>10</v>
      </c>
      <c r="E28" s="15" t="s">
        <v>9</v>
      </c>
      <c r="F28" s="8" t="s">
        <v>9</v>
      </c>
      <c r="G28" s="8" t="s">
        <v>9</v>
      </c>
      <c r="H28" s="8">
        <v>10</v>
      </c>
      <c r="I28" s="9">
        <f t="shared" si="4"/>
        <v>10</v>
      </c>
      <c r="J28" s="21" t="s">
        <v>9</v>
      </c>
      <c r="K28" s="75"/>
    </row>
    <row r="29" spans="1:13" ht="18.75" customHeight="1" thickBot="1">
      <c r="A29" s="161">
        <v>27</v>
      </c>
      <c r="B29" s="162"/>
      <c r="C29" s="64" t="s">
        <v>116</v>
      </c>
      <c r="D29" s="24">
        <v>16</v>
      </c>
      <c r="E29" s="15" t="s">
        <v>9</v>
      </c>
      <c r="F29" s="8" t="s">
        <v>9</v>
      </c>
      <c r="G29" s="8" t="s">
        <v>9</v>
      </c>
      <c r="H29" s="8">
        <v>16</v>
      </c>
      <c r="I29" s="9">
        <f t="shared" si="4"/>
        <v>16</v>
      </c>
      <c r="J29" s="21" t="s">
        <v>9</v>
      </c>
      <c r="K29" s="75" t="s">
        <v>115</v>
      </c>
    </row>
    <row r="30" spans="1:13" ht="32.25" customHeight="1" thickBot="1">
      <c r="A30" s="233" t="s">
        <v>95</v>
      </c>
      <c r="B30" s="234"/>
      <c r="C30" s="234"/>
      <c r="D30" s="234"/>
      <c r="E30" s="234"/>
      <c r="F30" s="234"/>
      <c r="G30" s="234"/>
      <c r="H30" s="234"/>
      <c r="I30" s="234"/>
      <c r="J30" s="234"/>
      <c r="K30" s="235"/>
    </row>
    <row r="31" spans="1:13" ht="30.75" customHeight="1">
      <c r="A31" s="184">
        <v>1</v>
      </c>
      <c r="B31" s="282" t="s">
        <v>97</v>
      </c>
      <c r="C31" s="193"/>
      <c r="D31" s="193"/>
      <c r="E31" s="193"/>
      <c r="F31" s="193"/>
      <c r="G31" s="193"/>
      <c r="H31" s="283"/>
      <c r="I31" s="220">
        <v>150</v>
      </c>
      <c r="J31" s="221"/>
      <c r="K31" s="231"/>
    </row>
    <row r="32" spans="1:13" ht="16.5" customHeight="1" thickBot="1">
      <c r="A32" s="181"/>
      <c r="B32" s="284" t="s">
        <v>98</v>
      </c>
      <c r="C32" s="285"/>
      <c r="D32" s="285"/>
      <c r="E32" s="285"/>
      <c r="F32" s="285"/>
      <c r="G32" s="285"/>
      <c r="H32" s="286"/>
      <c r="I32" s="222"/>
      <c r="J32" s="223"/>
      <c r="K32" s="232"/>
    </row>
    <row r="33" spans="1:40" ht="16.5" customHeight="1" thickBot="1">
      <c r="A33" s="80">
        <v>2</v>
      </c>
      <c r="B33" s="278" t="s">
        <v>99</v>
      </c>
      <c r="C33" s="279"/>
      <c r="D33" s="279"/>
      <c r="E33" s="279"/>
      <c r="F33" s="279"/>
      <c r="G33" s="279"/>
      <c r="H33" s="279"/>
      <c r="I33" s="272">
        <v>1</v>
      </c>
      <c r="J33" s="273"/>
      <c r="K33" s="91"/>
      <c r="L33" s="78"/>
    </row>
    <row r="34" spans="1:40" ht="16.5" customHeight="1" thickBot="1">
      <c r="A34" s="94">
        <v>3</v>
      </c>
      <c r="B34" s="274" t="s">
        <v>102</v>
      </c>
      <c r="C34" s="274"/>
      <c r="D34" s="274"/>
      <c r="E34" s="274"/>
      <c r="F34" s="274"/>
      <c r="G34" s="274"/>
      <c r="H34" s="274"/>
      <c r="I34" s="275">
        <v>1</v>
      </c>
      <c r="J34" s="275"/>
      <c r="K34" s="7"/>
      <c r="L34" s="78"/>
    </row>
    <row r="35" spans="1:40" ht="16.5" customHeight="1" thickBot="1">
      <c r="A35" s="93">
        <v>4</v>
      </c>
      <c r="B35" s="276" t="s">
        <v>110</v>
      </c>
      <c r="C35" s="276"/>
      <c r="D35" s="276"/>
      <c r="E35" s="276"/>
      <c r="F35" s="276"/>
      <c r="G35" s="276"/>
      <c r="H35" s="276"/>
      <c r="I35" s="277" t="s">
        <v>111</v>
      </c>
      <c r="J35" s="277"/>
      <c r="K35" s="95"/>
      <c r="L35" s="78"/>
    </row>
    <row r="36" spans="1:40" s="56" customFormat="1" ht="17.25" customHeight="1" thickBot="1">
      <c r="A36" s="93">
        <v>5</v>
      </c>
      <c r="B36" s="287" t="s">
        <v>101</v>
      </c>
      <c r="C36" s="287"/>
      <c r="D36" s="287"/>
      <c r="E36" s="287"/>
      <c r="F36" s="287"/>
      <c r="G36" s="287"/>
      <c r="H36" s="287"/>
      <c r="I36" s="277">
        <v>1</v>
      </c>
      <c r="J36" s="277"/>
      <c r="K36" s="95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1:40" ht="18" customHeight="1" thickBot="1">
      <c r="A37" s="93">
        <v>6</v>
      </c>
      <c r="B37" s="287" t="s">
        <v>100</v>
      </c>
      <c r="C37" s="287"/>
      <c r="D37" s="287"/>
      <c r="E37" s="287"/>
      <c r="F37" s="287"/>
      <c r="G37" s="287"/>
      <c r="H37" s="287"/>
      <c r="I37" s="277">
        <v>1</v>
      </c>
      <c r="J37" s="277"/>
      <c r="K37" s="95"/>
    </row>
    <row r="38" spans="1:40" ht="15.75" customHeight="1" thickBot="1">
      <c r="A38" s="93">
        <v>7</v>
      </c>
      <c r="B38" s="287" t="s">
        <v>118</v>
      </c>
      <c r="C38" s="287"/>
      <c r="D38" s="287"/>
      <c r="E38" s="287"/>
      <c r="F38" s="287"/>
      <c r="G38" s="287"/>
      <c r="H38" s="287"/>
      <c r="I38" s="277" t="s">
        <v>119</v>
      </c>
      <c r="J38" s="277"/>
      <c r="K38" s="95"/>
    </row>
    <row r="39" spans="1:40" ht="26.25" thickBot="1">
      <c r="A39" s="93">
        <v>8</v>
      </c>
      <c r="B39" s="288" t="s">
        <v>125</v>
      </c>
      <c r="C39" s="288"/>
      <c r="D39" s="288"/>
      <c r="E39" s="288"/>
      <c r="F39" s="288"/>
      <c r="G39" s="288"/>
      <c r="H39" s="288"/>
      <c r="I39" s="277">
        <v>1</v>
      </c>
      <c r="J39" s="277"/>
      <c r="K39" s="100" t="s">
        <v>112</v>
      </c>
    </row>
    <row r="40" spans="1:40" ht="16.5" thickBot="1">
      <c r="A40" s="93">
        <v>9</v>
      </c>
      <c r="B40" s="249" t="s">
        <v>120</v>
      </c>
      <c r="C40" s="250"/>
      <c r="D40" s="250"/>
      <c r="E40" s="250"/>
      <c r="F40" s="250"/>
      <c r="G40" s="250"/>
      <c r="H40" s="251"/>
      <c r="I40" s="227">
        <v>2</v>
      </c>
      <c r="J40" s="228"/>
      <c r="K40" s="95"/>
    </row>
    <row r="41" spans="1:40" ht="16.5" thickBot="1">
      <c r="A41" s="93">
        <v>10</v>
      </c>
      <c r="B41" s="249" t="s">
        <v>123</v>
      </c>
      <c r="C41" s="250"/>
      <c r="D41" s="250"/>
      <c r="E41" s="250"/>
      <c r="F41" s="250"/>
      <c r="G41" s="250"/>
      <c r="H41" s="251"/>
      <c r="I41" s="277">
        <v>45</v>
      </c>
      <c r="J41" s="277">
        <v>15</v>
      </c>
      <c r="K41" s="95"/>
    </row>
    <row r="42" spans="1:40" ht="16.5" thickBot="1">
      <c r="A42" s="93">
        <v>11</v>
      </c>
      <c r="B42" s="288" t="s">
        <v>122</v>
      </c>
      <c r="C42" s="288"/>
      <c r="D42" s="288"/>
      <c r="E42" s="288"/>
      <c r="F42" s="288"/>
      <c r="G42" s="288"/>
      <c r="H42" s="288"/>
      <c r="I42" s="277" t="s">
        <v>121</v>
      </c>
      <c r="J42" s="277"/>
      <c r="K42" s="95"/>
    </row>
    <row r="43" spans="1:40" ht="16.5" thickBot="1">
      <c r="A43" s="227"/>
      <c r="B43" s="289"/>
      <c r="C43" s="114" t="s">
        <v>103</v>
      </c>
      <c r="D43" s="260" t="s">
        <v>84</v>
      </c>
      <c r="E43" s="261"/>
      <c r="F43" s="261"/>
      <c r="G43" s="262"/>
      <c r="H43" s="260" t="s">
        <v>83</v>
      </c>
      <c r="I43" s="261"/>
      <c r="J43" s="262"/>
      <c r="K43" s="92"/>
    </row>
    <row r="44" spans="1:40" ht="32.25" thickBot="1">
      <c r="A44" s="254"/>
      <c r="B44" s="255"/>
      <c r="C44" s="113"/>
      <c r="D44" s="257"/>
      <c r="E44" s="257"/>
      <c r="F44" s="257"/>
      <c r="G44" s="258"/>
      <c r="H44" s="259"/>
      <c r="I44" s="257"/>
      <c r="J44" s="258"/>
      <c r="K44" s="79"/>
    </row>
  </sheetData>
  <mergeCells count="65">
    <mergeCell ref="B42:H42"/>
    <mergeCell ref="I42:J42"/>
    <mergeCell ref="D43:G43"/>
    <mergeCell ref="H43:J43"/>
    <mergeCell ref="D44:G44"/>
    <mergeCell ref="H44:J44"/>
    <mergeCell ref="A44:B44"/>
    <mergeCell ref="A43:B43"/>
    <mergeCell ref="B39:H39"/>
    <mergeCell ref="I39:J39"/>
    <mergeCell ref="B40:H40"/>
    <mergeCell ref="I40:J40"/>
    <mergeCell ref="B41:H41"/>
    <mergeCell ref="I41:J41"/>
    <mergeCell ref="I36:J36"/>
    <mergeCell ref="B37:H37"/>
    <mergeCell ref="I37:J37"/>
    <mergeCell ref="B38:H38"/>
    <mergeCell ref="I38:J38"/>
    <mergeCell ref="B36:H36"/>
    <mergeCell ref="J23:K23"/>
    <mergeCell ref="A30:K30"/>
    <mergeCell ref="A31:A32"/>
    <mergeCell ref="B31:H31"/>
    <mergeCell ref="I31:J32"/>
    <mergeCell ref="K31:K32"/>
    <mergeCell ref="A23:B23"/>
    <mergeCell ref="A24:B24"/>
    <mergeCell ref="A25:B25"/>
    <mergeCell ref="A26:B26"/>
    <mergeCell ref="A27:B27"/>
    <mergeCell ref="A28:B28"/>
    <mergeCell ref="B32:H32"/>
    <mergeCell ref="A29:B29"/>
    <mergeCell ref="I33:J33"/>
    <mergeCell ref="B34:H34"/>
    <mergeCell ref="I34:J34"/>
    <mergeCell ref="B35:H35"/>
    <mergeCell ref="I35:J35"/>
    <mergeCell ref="B33:H33"/>
    <mergeCell ref="A19:B19"/>
    <mergeCell ref="A20:B20"/>
    <mergeCell ref="A21:B21"/>
    <mergeCell ref="A22:B22"/>
    <mergeCell ref="A6:B6"/>
    <mergeCell ref="A7:B7"/>
    <mergeCell ref="A18:B18"/>
    <mergeCell ref="A8:B8"/>
    <mergeCell ref="A9:B9"/>
    <mergeCell ref="A10:B10"/>
    <mergeCell ref="A15:B15"/>
    <mergeCell ref="A1:K1"/>
    <mergeCell ref="A2:B2"/>
    <mergeCell ref="A3:B3"/>
    <mergeCell ref="A4:B4"/>
    <mergeCell ref="A5:B5"/>
    <mergeCell ref="P12:P13"/>
    <mergeCell ref="N10:N11"/>
    <mergeCell ref="O10:O11"/>
    <mergeCell ref="A16:B16"/>
    <mergeCell ref="A17:B17"/>
    <mergeCell ref="A12:B12"/>
    <mergeCell ref="A13:B13"/>
    <mergeCell ref="A11:B11"/>
    <mergeCell ref="A14:B14"/>
  </mergeCells>
  <phoneticPr fontId="45" type="noConversion"/>
  <pageMargins left="0.74803149606299213" right="0.74803149606299213" top="0.98425196850393704" bottom="0.98425196850393704" header="0.51181102362204722" footer="0.51181102362204722"/>
  <pageSetup paperSize="9" scale="80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E5D6-5F48-46F0-B2E0-C6B7FF586ECB}">
  <dimension ref="A1:AP40"/>
  <sheetViews>
    <sheetView zoomScaleNormal="100" workbookViewId="0">
      <selection activeCell="N32" sqref="N32"/>
    </sheetView>
  </sheetViews>
  <sheetFormatPr defaultColWidth="9.140625" defaultRowHeight="15"/>
  <cols>
    <col min="1" max="1" width="3" customWidth="1"/>
    <col min="2" max="2" width="1.42578125" customWidth="1"/>
    <col min="3" max="3" width="30.42578125" customWidth="1"/>
    <col min="4" max="4" width="7.7109375" style="1" customWidth="1"/>
    <col min="5" max="5" width="7.140625" style="1" customWidth="1"/>
    <col min="6" max="6" width="7.28515625" style="1" customWidth="1"/>
    <col min="7" max="7" width="7.42578125" style="1" customWidth="1"/>
    <col min="8" max="8" width="8.42578125" customWidth="1"/>
    <col min="9" max="9" width="8.28515625" customWidth="1"/>
    <col min="10" max="10" width="9.42578125" customWidth="1"/>
    <col min="11" max="11" width="17.140625" customWidth="1"/>
    <col min="16" max="16" width="16.5703125" customWidth="1"/>
    <col min="17" max="17" width="14.140625" customWidth="1"/>
    <col min="18" max="18" width="11.140625" customWidth="1"/>
  </cols>
  <sheetData>
    <row r="1" spans="1:19" ht="20.25" customHeight="1" thickBot="1">
      <c r="A1" s="163" t="s">
        <v>79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</row>
    <row r="2" spans="1:19" ht="31.5" customHeight="1" thickBot="1">
      <c r="A2" s="164" t="s">
        <v>0</v>
      </c>
      <c r="B2" s="165"/>
      <c r="C2" s="16" t="s">
        <v>1</v>
      </c>
      <c r="D2" s="16" t="s">
        <v>26</v>
      </c>
      <c r="E2" s="3" t="s">
        <v>2</v>
      </c>
      <c r="F2" s="3" t="s">
        <v>3</v>
      </c>
      <c r="G2" s="3" t="s">
        <v>4</v>
      </c>
      <c r="H2" s="3" t="s">
        <v>5</v>
      </c>
      <c r="I2" s="2" t="s">
        <v>6</v>
      </c>
      <c r="J2" s="6" t="s">
        <v>7</v>
      </c>
      <c r="K2" s="2" t="s">
        <v>8</v>
      </c>
      <c r="P2" s="76" t="s">
        <v>64</v>
      </c>
      <c r="Q2" s="77" t="s">
        <v>63</v>
      </c>
    </row>
    <row r="3" spans="1:19" ht="16.5" customHeight="1" thickBot="1">
      <c r="A3" s="161">
        <v>1</v>
      </c>
      <c r="B3" s="162"/>
      <c r="C3" s="31" t="s">
        <v>37</v>
      </c>
      <c r="D3" s="23">
        <v>1</v>
      </c>
      <c r="E3" s="8" t="s">
        <v>9</v>
      </c>
      <c r="F3" s="8">
        <v>1</v>
      </c>
      <c r="G3" s="8" t="s">
        <v>9</v>
      </c>
      <c r="H3" s="8" t="s">
        <v>9</v>
      </c>
      <c r="I3" s="9">
        <f>SUM(E3:H3)</f>
        <v>1</v>
      </c>
      <c r="J3" s="21" t="s">
        <v>9</v>
      </c>
      <c r="K3" s="74" t="s">
        <v>77</v>
      </c>
      <c r="P3" s="51" t="s">
        <v>65</v>
      </c>
      <c r="Q3" s="52">
        <v>9</v>
      </c>
    </row>
    <row r="4" spans="1:19" ht="16.5" customHeight="1" thickBot="1">
      <c r="A4" s="161">
        <v>2</v>
      </c>
      <c r="B4" s="162"/>
      <c r="C4" s="31" t="s">
        <v>36</v>
      </c>
      <c r="D4" s="23">
        <v>126</v>
      </c>
      <c r="E4" s="8">
        <v>17</v>
      </c>
      <c r="F4" s="8">
        <v>39</v>
      </c>
      <c r="G4" s="8">
        <v>10</v>
      </c>
      <c r="H4" s="8">
        <v>60</v>
      </c>
      <c r="I4" s="9">
        <f>SUM(E4:H4)</f>
        <v>126</v>
      </c>
      <c r="J4" s="21">
        <v>20</v>
      </c>
      <c r="K4" s="75" t="s">
        <v>77</v>
      </c>
      <c r="P4" s="50" t="s">
        <v>66</v>
      </c>
      <c r="Q4" s="48">
        <v>9</v>
      </c>
    </row>
    <row r="5" spans="1:19" ht="16.5" customHeight="1" thickBot="1">
      <c r="A5" s="161">
        <v>3</v>
      </c>
      <c r="B5" s="162"/>
      <c r="C5" s="31" t="s">
        <v>35</v>
      </c>
      <c r="D5" s="23">
        <v>341</v>
      </c>
      <c r="E5" s="8">
        <v>24</v>
      </c>
      <c r="F5" s="8">
        <v>4</v>
      </c>
      <c r="G5" s="8">
        <v>17</v>
      </c>
      <c r="H5" s="8">
        <v>296</v>
      </c>
      <c r="I5" s="9">
        <f>SUM(E5:H5)</f>
        <v>341</v>
      </c>
      <c r="J5" s="21">
        <v>150</v>
      </c>
      <c r="K5" s="75" t="s">
        <v>77</v>
      </c>
      <c r="P5" s="50" t="s">
        <v>62</v>
      </c>
      <c r="Q5" s="48">
        <v>5</v>
      </c>
    </row>
    <row r="6" spans="1:19" ht="16.5" customHeight="1" thickBot="1">
      <c r="A6" s="161">
        <v>4</v>
      </c>
      <c r="B6" s="162"/>
      <c r="C6" s="31" t="s">
        <v>34</v>
      </c>
      <c r="D6" s="23">
        <v>35</v>
      </c>
      <c r="E6" s="8">
        <v>8</v>
      </c>
      <c r="F6" s="8"/>
      <c r="G6" s="8" t="s">
        <v>9</v>
      </c>
      <c r="H6" s="8">
        <v>27</v>
      </c>
      <c r="I6" s="9">
        <f>SUM(E6:H6)</f>
        <v>35</v>
      </c>
      <c r="J6" s="21" t="s">
        <v>9</v>
      </c>
      <c r="K6" s="32"/>
      <c r="P6" s="48" t="s">
        <v>69</v>
      </c>
      <c r="Q6" s="48">
        <v>37</v>
      </c>
    </row>
    <row r="7" spans="1:19" ht="17.100000000000001" customHeight="1" thickBot="1">
      <c r="A7" s="161">
        <v>5</v>
      </c>
      <c r="B7" s="162"/>
      <c r="C7" s="31" t="s">
        <v>68</v>
      </c>
      <c r="D7" s="23">
        <v>90</v>
      </c>
      <c r="E7" s="8" t="s">
        <v>9</v>
      </c>
      <c r="F7" s="8">
        <v>15</v>
      </c>
      <c r="G7" s="8">
        <v>17</v>
      </c>
      <c r="H7" s="8">
        <v>58</v>
      </c>
      <c r="I7" s="9">
        <f>SUM(E7:H7)</f>
        <v>90</v>
      </c>
      <c r="J7" s="21" t="s">
        <v>9</v>
      </c>
      <c r="K7" s="75" t="s">
        <v>77</v>
      </c>
      <c r="P7" s="53" t="s">
        <v>70</v>
      </c>
      <c r="Q7" s="57">
        <f>SUM(Q3:Q6)</f>
        <v>60</v>
      </c>
    </row>
    <row r="8" spans="1:19" ht="19.5" customHeight="1" thickBot="1">
      <c r="A8" s="161">
        <v>6</v>
      </c>
      <c r="B8" s="162"/>
      <c r="C8" s="40" t="s">
        <v>33</v>
      </c>
      <c r="D8" s="41">
        <v>8</v>
      </c>
      <c r="E8" s="42" t="s">
        <v>9</v>
      </c>
      <c r="F8" s="43">
        <v>1</v>
      </c>
      <c r="G8" s="44">
        <v>0</v>
      </c>
      <c r="H8" s="45">
        <v>7</v>
      </c>
      <c r="I8" s="45">
        <f>SUM(E8,F8,G8,H8)</f>
        <v>8</v>
      </c>
      <c r="J8" s="42">
        <v>6</v>
      </c>
      <c r="K8" s="39" t="s">
        <v>77</v>
      </c>
    </row>
    <row r="9" spans="1:19" ht="16.5" customHeight="1" thickBot="1">
      <c r="A9" s="161">
        <v>7</v>
      </c>
      <c r="B9" s="162"/>
      <c r="C9" s="31" t="s">
        <v>32</v>
      </c>
      <c r="D9" s="23">
        <v>28</v>
      </c>
      <c r="E9" s="8">
        <v>7</v>
      </c>
      <c r="F9" s="8">
        <v>1</v>
      </c>
      <c r="G9" s="8" t="s">
        <v>9</v>
      </c>
      <c r="H9" s="8">
        <v>20</v>
      </c>
      <c r="I9" s="9">
        <f>SUM(E9,F9,G9,H9)</f>
        <v>28</v>
      </c>
      <c r="J9" s="21" t="s">
        <v>9</v>
      </c>
      <c r="K9" s="75" t="s">
        <v>77</v>
      </c>
      <c r="P9" s="290" t="s">
        <v>67</v>
      </c>
      <c r="Q9" s="292" t="s">
        <v>63</v>
      </c>
      <c r="R9" s="267"/>
      <c r="S9">
        <v>35</v>
      </c>
    </row>
    <row r="10" spans="1:19" ht="15.75" customHeight="1" thickBot="1">
      <c r="A10" s="161">
        <v>8</v>
      </c>
      <c r="B10" s="162"/>
      <c r="C10" s="17" t="s">
        <v>31</v>
      </c>
      <c r="D10" s="25">
        <v>4</v>
      </c>
      <c r="E10" s="8" t="s">
        <v>9</v>
      </c>
      <c r="F10" s="8">
        <v>1</v>
      </c>
      <c r="G10" s="8" t="s">
        <v>9</v>
      </c>
      <c r="H10" s="8">
        <v>3</v>
      </c>
      <c r="I10" s="9">
        <f>SUM(E10,F10,G10,H10)</f>
        <v>4</v>
      </c>
      <c r="J10" s="21">
        <v>1</v>
      </c>
      <c r="K10" s="75" t="s">
        <v>77</v>
      </c>
      <c r="P10" s="291"/>
      <c r="Q10" s="293"/>
      <c r="R10" s="294"/>
    </row>
    <row r="11" spans="1:19" ht="16.5" customHeight="1" thickBot="1">
      <c r="A11" s="161">
        <v>9</v>
      </c>
      <c r="B11" s="162"/>
      <c r="C11" s="31" t="s">
        <v>30</v>
      </c>
      <c r="D11" s="23">
        <v>3</v>
      </c>
      <c r="E11" s="8" t="s">
        <v>9</v>
      </c>
      <c r="F11" s="8">
        <v>1</v>
      </c>
      <c r="G11" s="8" t="s">
        <v>9</v>
      </c>
      <c r="H11" s="8">
        <v>2</v>
      </c>
      <c r="I11" s="9">
        <f>SUM(E11:H11)</f>
        <v>3</v>
      </c>
      <c r="J11" s="21">
        <v>1</v>
      </c>
      <c r="K11" s="75" t="s">
        <v>77</v>
      </c>
      <c r="P11" s="51" t="s">
        <v>65</v>
      </c>
      <c r="Q11" s="52">
        <v>6</v>
      </c>
    </row>
    <row r="12" spans="1:19" ht="17.100000000000001" customHeight="1" thickBot="1">
      <c r="A12" s="161">
        <v>10</v>
      </c>
      <c r="B12" s="162"/>
      <c r="C12" s="31" t="s">
        <v>29</v>
      </c>
      <c r="D12" s="23">
        <v>4</v>
      </c>
      <c r="E12" s="8" t="s">
        <v>9</v>
      </c>
      <c r="F12" s="8" t="str">
        <f>'Sheet1 (4)'!E28</f>
        <v>-</v>
      </c>
      <c r="G12" s="8">
        <v>2</v>
      </c>
      <c r="H12" s="8">
        <v>2</v>
      </c>
      <c r="I12" s="9">
        <f>SUM(E12:H12)</f>
        <v>4</v>
      </c>
      <c r="J12" s="21" t="s">
        <v>9</v>
      </c>
      <c r="K12" s="32"/>
      <c r="P12" s="51" t="s">
        <v>66</v>
      </c>
      <c r="Q12" s="48">
        <v>6</v>
      </c>
    </row>
    <row r="13" spans="1:19" ht="21" customHeight="1" thickBot="1">
      <c r="A13" s="161">
        <v>11</v>
      </c>
      <c r="B13" s="162"/>
      <c r="C13" s="31" t="s">
        <v>28</v>
      </c>
      <c r="D13" s="25">
        <v>15</v>
      </c>
      <c r="E13" s="8" t="s">
        <v>9</v>
      </c>
      <c r="F13" s="8" t="s">
        <v>9</v>
      </c>
      <c r="G13" s="10">
        <v>4</v>
      </c>
      <c r="H13" s="11">
        <v>11</v>
      </c>
      <c r="I13" s="9">
        <f>SUM(E13:H13)</f>
        <v>15</v>
      </c>
      <c r="J13" s="21" t="s">
        <v>9</v>
      </c>
      <c r="K13" s="32"/>
      <c r="P13" s="70" t="s">
        <v>75</v>
      </c>
      <c r="Q13" s="48">
        <v>22</v>
      </c>
    </row>
    <row r="14" spans="1:19" ht="16.5" customHeight="1" thickBot="1">
      <c r="A14" s="166">
        <v>12</v>
      </c>
      <c r="B14" s="166"/>
      <c r="C14" s="169" t="s">
        <v>27</v>
      </c>
      <c r="D14" s="171" t="s">
        <v>48</v>
      </c>
      <c r="E14" s="167" t="s">
        <v>9</v>
      </c>
      <c r="F14" s="167">
        <v>15</v>
      </c>
      <c r="G14" s="167" t="s">
        <v>9</v>
      </c>
      <c r="H14" s="167">
        <v>55</v>
      </c>
      <c r="I14" s="167">
        <f>SUM(E14:H15)</f>
        <v>70</v>
      </c>
      <c r="J14" s="173" t="s">
        <v>9</v>
      </c>
      <c r="K14" s="175"/>
      <c r="O14" t="s">
        <v>25</v>
      </c>
      <c r="P14" s="58" t="s">
        <v>71</v>
      </c>
      <c r="Q14" s="54">
        <v>24</v>
      </c>
    </row>
    <row r="15" spans="1:19" ht="16.5" customHeight="1" thickBot="1">
      <c r="A15" s="166"/>
      <c r="B15" s="166"/>
      <c r="C15" s="170"/>
      <c r="D15" s="172"/>
      <c r="E15" s="168"/>
      <c r="F15" s="168"/>
      <c r="G15" s="168"/>
      <c r="H15" s="168"/>
      <c r="I15" s="168"/>
      <c r="J15" s="174"/>
      <c r="K15" s="176"/>
      <c r="P15" s="53" t="s">
        <v>70</v>
      </c>
      <c r="Q15" s="57">
        <f>SUM(Q11:Q14)</f>
        <v>58</v>
      </c>
    </row>
    <row r="16" spans="1:19" ht="16.5" customHeight="1" thickBot="1">
      <c r="A16" s="166">
        <v>13</v>
      </c>
      <c r="B16" s="181"/>
      <c r="C16" s="182" t="s">
        <v>38</v>
      </c>
      <c r="D16" s="184">
        <v>35</v>
      </c>
      <c r="E16" s="185" t="s">
        <v>9</v>
      </c>
      <c r="F16" s="185" t="s">
        <v>9</v>
      </c>
      <c r="G16" s="185" t="s">
        <v>9</v>
      </c>
      <c r="H16" s="185">
        <v>35</v>
      </c>
      <c r="I16" s="186">
        <f>SUM(E16:H17)</f>
        <v>35</v>
      </c>
      <c r="J16" s="174" t="s">
        <v>9</v>
      </c>
      <c r="K16" s="175"/>
    </row>
    <row r="17" spans="1:11" ht="16.5" customHeight="1" thickBot="1">
      <c r="A17" s="166"/>
      <c r="B17" s="181"/>
      <c r="C17" s="183"/>
      <c r="D17" s="166"/>
      <c r="E17" s="185"/>
      <c r="F17" s="185"/>
      <c r="G17" s="185"/>
      <c r="H17" s="185"/>
      <c r="I17" s="186"/>
      <c r="J17" s="174"/>
      <c r="K17" s="176"/>
    </row>
    <row r="18" spans="1:11" ht="21.75" customHeight="1" thickBot="1">
      <c r="A18" s="179">
        <v>14</v>
      </c>
      <c r="B18" s="180"/>
      <c r="C18" s="34" t="s">
        <v>39</v>
      </c>
      <c r="D18" s="30">
        <v>4</v>
      </c>
      <c r="E18" s="12" t="s">
        <v>9</v>
      </c>
      <c r="F18" s="12" t="s">
        <v>9</v>
      </c>
      <c r="G18" s="12">
        <v>2</v>
      </c>
      <c r="H18" s="12">
        <v>1</v>
      </c>
      <c r="I18" s="13">
        <f t="shared" ref="I18:I28" si="0">SUM(E18:H18)</f>
        <v>3</v>
      </c>
      <c r="J18" s="22" t="s">
        <v>9</v>
      </c>
      <c r="K18" s="32"/>
    </row>
    <row r="19" spans="1:11" ht="18.75" customHeight="1" thickBot="1">
      <c r="A19" s="187">
        <v>15</v>
      </c>
      <c r="B19" s="188"/>
      <c r="C19" s="34" t="s">
        <v>40</v>
      </c>
      <c r="D19" s="26">
        <v>4</v>
      </c>
      <c r="E19" s="14" t="s">
        <v>9</v>
      </c>
      <c r="F19" s="14" t="s">
        <v>9</v>
      </c>
      <c r="G19" s="14" t="s">
        <v>9</v>
      </c>
      <c r="H19" s="14">
        <v>4</v>
      </c>
      <c r="I19" s="13">
        <f t="shared" si="0"/>
        <v>4</v>
      </c>
      <c r="J19" s="22" t="s">
        <v>9</v>
      </c>
      <c r="K19" s="32"/>
    </row>
    <row r="20" spans="1:11" ht="18.75" customHeight="1" thickBot="1">
      <c r="A20" s="177">
        <v>16</v>
      </c>
      <c r="B20" s="178"/>
      <c r="C20" s="33" t="s">
        <v>41</v>
      </c>
      <c r="D20" s="27">
        <v>1</v>
      </c>
      <c r="E20" s="15" t="s">
        <v>9</v>
      </c>
      <c r="F20" s="8">
        <v>1</v>
      </c>
      <c r="G20" s="8" t="s">
        <v>9</v>
      </c>
      <c r="H20" s="8" t="s">
        <v>9</v>
      </c>
      <c r="I20" s="9">
        <f t="shared" si="0"/>
        <v>1</v>
      </c>
      <c r="J20" s="21" t="s">
        <v>9</v>
      </c>
      <c r="K20" s="75" t="s">
        <v>77</v>
      </c>
    </row>
    <row r="21" spans="1:11" ht="18" customHeight="1" thickBot="1">
      <c r="A21" s="161">
        <v>17</v>
      </c>
      <c r="B21" s="162"/>
      <c r="C21" s="31" t="s">
        <v>42</v>
      </c>
      <c r="D21" s="23">
        <v>3</v>
      </c>
      <c r="E21" s="8" t="s">
        <v>9</v>
      </c>
      <c r="F21" s="8">
        <v>1</v>
      </c>
      <c r="G21" s="8" t="s">
        <v>9</v>
      </c>
      <c r="H21" s="8">
        <v>2</v>
      </c>
      <c r="I21" s="9">
        <f t="shared" si="0"/>
        <v>3</v>
      </c>
      <c r="J21" s="21" t="s">
        <v>9</v>
      </c>
      <c r="K21" s="75" t="s">
        <v>77</v>
      </c>
    </row>
    <row r="22" spans="1:11" ht="18.95" customHeight="1" thickBot="1">
      <c r="A22" s="161">
        <v>18</v>
      </c>
      <c r="B22" s="162"/>
      <c r="C22" s="31" t="s">
        <v>53</v>
      </c>
      <c r="D22" s="23">
        <v>13</v>
      </c>
      <c r="E22" s="8" t="s">
        <v>9</v>
      </c>
      <c r="F22" s="8" t="s">
        <v>9</v>
      </c>
      <c r="G22" s="8">
        <v>8</v>
      </c>
      <c r="H22" s="8">
        <v>5</v>
      </c>
      <c r="I22" s="9">
        <f t="shared" si="0"/>
        <v>13</v>
      </c>
      <c r="J22" s="21" t="s">
        <v>9</v>
      </c>
      <c r="K22" s="32"/>
    </row>
    <row r="23" spans="1:11" ht="28.5" customHeight="1" thickBot="1">
      <c r="A23" s="161">
        <v>19</v>
      </c>
      <c r="B23" s="162"/>
      <c r="C23" s="31" t="s">
        <v>55</v>
      </c>
      <c r="D23" s="28">
        <v>10</v>
      </c>
      <c r="E23" s="15" t="s">
        <v>9</v>
      </c>
      <c r="F23" s="8">
        <v>2</v>
      </c>
      <c r="G23" s="8">
        <v>3</v>
      </c>
      <c r="H23" s="8">
        <v>5</v>
      </c>
      <c r="I23" s="9">
        <f t="shared" si="0"/>
        <v>10</v>
      </c>
      <c r="J23" s="21" t="s">
        <v>9</v>
      </c>
      <c r="K23" s="73" t="s">
        <v>78</v>
      </c>
    </row>
    <row r="24" spans="1:11" ht="18" customHeight="1" thickBot="1">
      <c r="A24" s="161">
        <v>20</v>
      </c>
      <c r="B24" s="162"/>
      <c r="C24" s="31" t="s">
        <v>43</v>
      </c>
      <c r="D24" s="27">
        <v>5</v>
      </c>
      <c r="E24" s="15" t="s">
        <v>9</v>
      </c>
      <c r="F24" s="8" t="s">
        <v>9</v>
      </c>
      <c r="G24" s="8" t="s">
        <v>9</v>
      </c>
      <c r="H24" s="8">
        <v>5</v>
      </c>
      <c r="I24" s="9">
        <f t="shared" si="0"/>
        <v>5</v>
      </c>
      <c r="J24" s="21" t="s">
        <v>9</v>
      </c>
      <c r="K24" s="32"/>
    </row>
    <row r="25" spans="1:11" ht="18.75" customHeight="1" thickBot="1">
      <c r="A25" s="161">
        <v>21</v>
      </c>
      <c r="B25" s="162"/>
      <c r="C25" s="31" t="s">
        <v>44</v>
      </c>
      <c r="D25" s="27">
        <v>9</v>
      </c>
      <c r="E25" s="15" t="s">
        <v>9</v>
      </c>
      <c r="F25" s="15" t="s">
        <v>9</v>
      </c>
      <c r="G25" s="8" t="s">
        <v>9</v>
      </c>
      <c r="H25" s="8">
        <v>9</v>
      </c>
      <c r="I25" s="9">
        <f t="shared" si="0"/>
        <v>9</v>
      </c>
      <c r="J25" s="21" t="s">
        <v>9</v>
      </c>
      <c r="K25" s="32"/>
    </row>
    <row r="26" spans="1:11" ht="30" customHeight="1" thickBot="1">
      <c r="A26" s="161">
        <v>22</v>
      </c>
      <c r="B26" s="162"/>
      <c r="C26" s="31" t="s">
        <v>45</v>
      </c>
      <c r="D26" s="24">
        <v>1</v>
      </c>
      <c r="E26" s="15" t="s">
        <v>9</v>
      </c>
      <c r="F26" s="8" t="s">
        <v>9</v>
      </c>
      <c r="G26" s="8" t="s">
        <v>9</v>
      </c>
      <c r="H26" s="8">
        <v>1</v>
      </c>
      <c r="I26" s="9">
        <f t="shared" si="0"/>
        <v>1</v>
      </c>
      <c r="J26" s="21" t="s">
        <v>9</v>
      </c>
      <c r="K26" s="32"/>
    </row>
    <row r="27" spans="1:11" ht="30.75" customHeight="1" thickBot="1">
      <c r="A27" s="161">
        <v>23</v>
      </c>
      <c r="B27" s="162"/>
      <c r="C27" s="31" t="s">
        <v>46</v>
      </c>
      <c r="D27" s="19" t="s">
        <v>49</v>
      </c>
      <c r="E27" s="15" t="s">
        <v>9</v>
      </c>
      <c r="F27" s="8" t="s">
        <v>9</v>
      </c>
      <c r="G27" s="8">
        <v>100</v>
      </c>
      <c r="H27" s="8">
        <v>509</v>
      </c>
      <c r="I27" s="9">
        <f t="shared" si="0"/>
        <v>609</v>
      </c>
      <c r="J27" s="21" t="s">
        <v>9</v>
      </c>
      <c r="K27" s="32"/>
    </row>
    <row r="28" spans="1:11" ht="30.75" customHeight="1" thickBot="1">
      <c r="A28" s="161">
        <v>24</v>
      </c>
      <c r="B28" s="162"/>
      <c r="C28" s="31" t="s">
        <v>47</v>
      </c>
      <c r="D28" s="24">
        <v>16</v>
      </c>
      <c r="E28" s="15" t="s">
        <v>9</v>
      </c>
      <c r="F28" s="8" t="s">
        <v>9</v>
      </c>
      <c r="G28" s="8" t="s">
        <v>9</v>
      </c>
      <c r="H28" s="8">
        <v>16</v>
      </c>
      <c r="I28" s="9">
        <f t="shared" si="0"/>
        <v>16</v>
      </c>
      <c r="J28" s="21" t="s">
        <v>9</v>
      </c>
      <c r="K28" s="32"/>
    </row>
    <row r="29" spans="1:11" ht="18.75" customHeight="1" thickBot="1">
      <c r="A29" s="198" t="s">
        <v>80</v>
      </c>
      <c r="B29" s="199"/>
      <c r="C29" s="199"/>
      <c r="D29" s="199"/>
      <c r="E29" s="199"/>
      <c r="F29" s="199"/>
      <c r="G29" s="199"/>
      <c r="H29" s="199"/>
      <c r="I29" s="199"/>
      <c r="J29" s="199"/>
      <c r="K29" s="200"/>
    </row>
    <row r="30" spans="1:11" ht="16.5" customHeight="1" thickBot="1">
      <c r="A30" s="47">
        <v>1</v>
      </c>
      <c r="B30" s="295" t="s">
        <v>12</v>
      </c>
      <c r="C30" s="296"/>
      <c r="D30" s="296"/>
      <c r="E30" s="296"/>
      <c r="F30" s="296"/>
      <c r="G30" s="296"/>
      <c r="H30" s="297"/>
      <c r="I30" s="298">
        <v>20</v>
      </c>
      <c r="J30" s="299"/>
      <c r="K30" s="46"/>
    </row>
    <row r="31" spans="1:11" ht="16.5" customHeight="1" thickBot="1">
      <c r="A31" s="36">
        <v>2</v>
      </c>
      <c r="B31" s="201" t="s">
        <v>81</v>
      </c>
      <c r="C31" s="201"/>
      <c r="D31" s="201"/>
      <c r="E31" s="202"/>
      <c r="F31" s="202"/>
      <c r="G31" s="202"/>
      <c r="H31" s="201"/>
      <c r="I31" s="204">
        <v>5</v>
      </c>
      <c r="J31" s="190"/>
      <c r="K31" s="175"/>
    </row>
    <row r="32" spans="1:11" ht="16.5" customHeight="1" thickBot="1">
      <c r="A32" s="37"/>
      <c r="B32" s="201"/>
      <c r="C32" s="201"/>
      <c r="D32" s="201"/>
      <c r="E32" s="202"/>
      <c r="F32" s="202"/>
      <c r="G32" s="202"/>
      <c r="H32" s="201"/>
      <c r="I32" s="203"/>
      <c r="J32" s="203"/>
      <c r="K32" s="176"/>
    </row>
    <row r="33" spans="1:42" ht="16.5" customHeight="1" thickBot="1">
      <c r="A33" s="18">
        <v>3</v>
      </c>
      <c r="B33" s="197" t="s">
        <v>19</v>
      </c>
      <c r="C33" s="197"/>
      <c r="D33" s="197"/>
      <c r="E33" s="206"/>
      <c r="F33" s="206"/>
      <c r="G33" s="206"/>
      <c r="H33" s="197"/>
      <c r="I33" s="207" t="s">
        <v>20</v>
      </c>
      <c r="J33" s="192"/>
      <c r="K33" s="32"/>
      <c r="L33" s="78"/>
    </row>
    <row r="34" spans="1:42" ht="16.5" customHeight="1">
      <c r="A34" s="167">
        <v>4</v>
      </c>
      <c r="B34" s="189" t="s">
        <v>21</v>
      </c>
      <c r="C34" s="189"/>
      <c r="D34" s="189"/>
      <c r="E34" s="190"/>
      <c r="F34" s="190"/>
      <c r="G34" s="190"/>
      <c r="H34" s="191"/>
      <c r="I34" s="190">
        <v>150</v>
      </c>
      <c r="J34" s="190"/>
      <c r="K34" s="175"/>
    </row>
    <row r="35" spans="1:42" ht="16.5" customHeight="1" thickBot="1">
      <c r="A35" s="168"/>
      <c r="B35" s="196" t="s">
        <v>22</v>
      </c>
      <c r="C35" s="196"/>
      <c r="D35" s="196"/>
      <c r="E35" s="192"/>
      <c r="F35" s="192"/>
      <c r="G35" s="192"/>
      <c r="H35" s="197"/>
      <c r="I35" s="192"/>
      <c r="J35" s="192"/>
      <c r="K35" s="176"/>
    </row>
    <row r="36" spans="1:42" ht="21" customHeight="1" thickBot="1">
      <c r="A36" s="36">
        <v>5</v>
      </c>
      <c r="B36" s="300" t="s">
        <v>60</v>
      </c>
      <c r="C36" s="301"/>
      <c r="D36" s="301"/>
      <c r="E36" s="301"/>
      <c r="F36" s="301"/>
      <c r="G36" s="301"/>
      <c r="H36" s="302"/>
      <c r="I36" s="303">
        <v>3</v>
      </c>
      <c r="J36" s="304"/>
      <c r="K36" s="55"/>
    </row>
    <row r="37" spans="1:42" s="56" customFormat="1" ht="17.25" customHeight="1" thickBot="1">
      <c r="A37" s="36">
        <v>6</v>
      </c>
      <c r="B37" s="305" t="s">
        <v>74</v>
      </c>
      <c r="C37" s="306"/>
      <c r="D37" s="306"/>
      <c r="E37" s="306"/>
      <c r="F37" s="306"/>
      <c r="G37" s="306"/>
      <c r="H37" s="307"/>
      <c r="I37" s="303">
        <v>1</v>
      </c>
      <c r="J37" s="304"/>
      <c r="K37" s="55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</row>
    <row r="38" spans="1:42" ht="21" customHeight="1" thickBot="1">
      <c r="A38" s="72">
        <v>7</v>
      </c>
      <c r="B38" s="308" t="s">
        <v>76</v>
      </c>
      <c r="C38" s="309"/>
      <c r="D38" s="309"/>
      <c r="E38" s="309"/>
      <c r="F38" s="309"/>
      <c r="G38" s="309"/>
      <c r="H38" s="310"/>
      <c r="I38" s="194">
        <v>1</v>
      </c>
      <c r="J38" s="311"/>
      <c r="K38" s="55"/>
    </row>
    <row r="39" spans="1:42" ht="15.75" customHeight="1" thickBot="1">
      <c r="A39" s="59"/>
      <c r="B39" s="312" t="s">
        <v>50</v>
      </c>
      <c r="C39" s="312"/>
      <c r="D39" s="312"/>
      <c r="E39" s="272" t="s">
        <v>51</v>
      </c>
      <c r="F39" s="313"/>
      <c r="G39" s="273"/>
      <c r="H39" s="272" t="s">
        <v>52</v>
      </c>
      <c r="I39" s="313"/>
      <c r="J39" s="313"/>
      <c r="K39" s="273"/>
    </row>
    <row r="40" spans="1:42" ht="67.5" customHeight="1" thickBot="1">
      <c r="A40" s="71"/>
      <c r="B40" s="314"/>
      <c r="C40" s="314"/>
      <c r="D40" s="314"/>
      <c r="E40" s="315"/>
      <c r="F40" s="315"/>
      <c r="G40" s="315"/>
      <c r="H40" s="316"/>
      <c r="I40" s="316"/>
      <c r="J40" s="316"/>
      <c r="K40" s="316"/>
    </row>
  </sheetData>
  <mergeCells count="72">
    <mergeCell ref="B39:D39"/>
    <mergeCell ref="E39:G39"/>
    <mergeCell ref="H39:K39"/>
    <mergeCell ref="B40:D40"/>
    <mergeCell ref="E40:G40"/>
    <mergeCell ref="H40:K40"/>
    <mergeCell ref="B36:H36"/>
    <mergeCell ref="I36:J36"/>
    <mergeCell ref="B37:H37"/>
    <mergeCell ref="I37:J37"/>
    <mergeCell ref="B38:H38"/>
    <mergeCell ref="I38:J38"/>
    <mergeCell ref="K34:K35"/>
    <mergeCell ref="B35:H35"/>
    <mergeCell ref="A29:K29"/>
    <mergeCell ref="B30:H30"/>
    <mergeCell ref="I30:J30"/>
    <mergeCell ref="B31:H32"/>
    <mergeCell ref="I31:J32"/>
    <mergeCell ref="K31:K32"/>
    <mergeCell ref="B33:H33"/>
    <mergeCell ref="I33:J33"/>
    <mergeCell ref="A34:A35"/>
    <mergeCell ref="B34:H34"/>
    <mergeCell ref="I34:J35"/>
    <mergeCell ref="A28:B28"/>
    <mergeCell ref="K16:K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G16:G17"/>
    <mergeCell ref="H16:H17"/>
    <mergeCell ref="I16:I17"/>
    <mergeCell ref="J16:J17"/>
    <mergeCell ref="A16:B17"/>
    <mergeCell ref="C16:C17"/>
    <mergeCell ref="D16:D17"/>
    <mergeCell ref="E16:E17"/>
    <mergeCell ref="F16:F17"/>
    <mergeCell ref="C14:C15"/>
    <mergeCell ref="K14:K15"/>
    <mergeCell ref="Q9:Q10"/>
    <mergeCell ref="R9:R10"/>
    <mergeCell ref="A10:B10"/>
    <mergeCell ref="A11:B11"/>
    <mergeCell ref="J14:J15"/>
    <mergeCell ref="D14:D15"/>
    <mergeCell ref="E14:E15"/>
    <mergeCell ref="F14:F15"/>
    <mergeCell ref="G14:G15"/>
    <mergeCell ref="H14:H15"/>
    <mergeCell ref="I14:I15"/>
    <mergeCell ref="A12:B12"/>
    <mergeCell ref="A13:B13"/>
    <mergeCell ref="A14:B15"/>
    <mergeCell ref="A1:K1"/>
    <mergeCell ref="A2:B2"/>
    <mergeCell ref="A3:B3"/>
    <mergeCell ref="A4:B4"/>
    <mergeCell ref="A5:B5"/>
    <mergeCell ref="A6:B6"/>
    <mergeCell ref="A7:B7"/>
    <mergeCell ref="A8:B8"/>
    <mergeCell ref="A9:B9"/>
    <mergeCell ref="P9:P10"/>
  </mergeCells>
  <pageMargins left="0.74803149606299213" right="0.74803149606299213" top="0.98425196850393704" bottom="0.98425196850393704" header="0.51181102362204722" footer="0.51181102362204722"/>
  <pageSetup paperSize="9" scale="80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AA2A-A17E-4609-9237-F5DF0EA9FF0A}">
  <dimension ref="A1:K39"/>
  <sheetViews>
    <sheetView workbookViewId="0">
      <selection activeCell="H45" sqref="H45"/>
    </sheetView>
  </sheetViews>
  <sheetFormatPr defaultRowHeight="15"/>
  <cols>
    <col min="1" max="1" width="2" style="48" customWidth="1"/>
    <col min="2" max="2" width="3.85546875" customWidth="1"/>
    <col min="3" max="3" width="20.140625" customWidth="1"/>
    <col min="4" max="4" width="6.7109375" customWidth="1"/>
    <col min="5" max="5" width="6.28515625" customWidth="1"/>
    <col min="6" max="6" width="5.5703125" customWidth="1"/>
    <col min="7" max="7" width="5.85546875" customWidth="1"/>
    <col min="8" max="8" width="6.7109375" customWidth="1"/>
    <col min="9" max="9" width="7" customWidth="1"/>
    <col min="10" max="10" width="6.42578125" customWidth="1"/>
    <col min="11" max="11" width="14.140625" customWidth="1"/>
  </cols>
  <sheetData>
    <row r="1" spans="1:11" ht="16.5" thickBot="1">
      <c r="A1" s="163" t="s">
        <v>72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</row>
    <row r="2" spans="1:11" ht="31.5" customHeight="1" thickBot="1">
      <c r="A2" s="164" t="s">
        <v>0</v>
      </c>
      <c r="B2" s="165"/>
      <c r="C2" s="16" t="s">
        <v>1</v>
      </c>
      <c r="D2" s="69" t="s">
        <v>26</v>
      </c>
      <c r="E2" s="3" t="s">
        <v>2</v>
      </c>
      <c r="F2" s="3" t="s">
        <v>3</v>
      </c>
      <c r="G2" s="3" t="s">
        <v>4</v>
      </c>
      <c r="H2" s="3" t="s">
        <v>5</v>
      </c>
      <c r="I2" s="2" t="s">
        <v>6</v>
      </c>
      <c r="J2" s="6" t="s">
        <v>7</v>
      </c>
      <c r="K2" s="2" t="s">
        <v>8</v>
      </c>
    </row>
    <row r="3" spans="1:11" ht="18" customHeight="1" thickBot="1">
      <c r="A3" s="161">
        <v>1</v>
      </c>
      <c r="B3" s="162"/>
      <c r="C3" s="31" t="s">
        <v>37</v>
      </c>
      <c r="D3" s="23">
        <v>1</v>
      </c>
      <c r="E3" s="8" t="s">
        <v>9</v>
      </c>
      <c r="F3" s="8" t="s">
        <v>9</v>
      </c>
      <c r="G3" s="8">
        <v>1</v>
      </c>
      <c r="H3" s="8" t="s">
        <v>9</v>
      </c>
      <c r="I3" s="9">
        <f>SUM(E3:H3)</f>
        <v>1</v>
      </c>
      <c r="J3" s="21" t="s">
        <v>9</v>
      </c>
      <c r="K3" s="49"/>
    </row>
    <row r="4" spans="1:11" ht="18" customHeight="1" thickBot="1">
      <c r="A4" s="161">
        <v>2</v>
      </c>
      <c r="B4" s="162"/>
      <c r="C4" s="31" t="s">
        <v>36</v>
      </c>
      <c r="D4" s="23">
        <v>126</v>
      </c>
      <c r="E4" s="8">
        <v>17</v>
      </c>
      <c r="F4" s="8">
        <v>4</v>
      </c>
      <c r="G4" s="8">
        <v>10</v>
      </c>
      <c r="H4" s="8">
        <v>95</v>
      </c>
      <c r="I4" s="9">
        <f>SUM(E4:H4)</f>
        <v>126</v>
      </c>
      <c r="J4" s="21">
        <v>20</v>
      </c>
      <c r="K4" s="32"/>
    </row>
    <row r="5" spans="1:11" ht="17.25" customHeight="1" thickBot="1">
      <c r="A5" s="161">
        <v>3</v>
      </c>
      <c r="B5" s="162"/>
      <c r="C5" s="31" t="s">
        <v>35</v>
      </c>
      <c r="D5" s="23">
        <v>341</v>
      </c>
      <c r="E5" s="8">
        <v>24</v>
      </c>
      <c r="F5" s="8">
        <v>4</v>
      </c>
      <c r="G5" s="8">
        <v>15</v>
      </c>
      <c r="H5" s="8">
        <v>298</v>
      </c>
      <c r="I5" s="9">
        <f>SUM(E5:H5)</f>
        <v>341</v>
      </c>
      <c r="J5" s="21">
        <v>150</v>
      </c>
      <c r="K5" s="32"/>
    </row>
    <row r="6" spans="1:11" ht="19.5" customHeight="1" thickBot="1">
      <c r="A6" s="161">
        <v>4</v>
      </c>
      <c r="B6" s="162"/>
      <c r="C6" s="31" t="s">
        <v>34</v>
      </c>
      <c r="D6" s="23">
        <v>35</v>
      </c>
      <c r="E6" s="8">
        <v>8</v>
      </c>
      <c r="F6" s="8" t="s">
        <v>9</v>
      </c>
      <c r="G6" s="8" t="s">
        <v>9</v>
      </c>
      <c r="H6" s="8">
        <v>27</v>
      </c>
      <c r="I6" s="9">
        <f>SUM(E6:H6)</f>
        <v>35</v>
      </c>
      <c r="J6" s="21" t="s">
        <v>9</v>
      </c>
      <c r="K6" s="32"/>
    </row>
    <row r="7" spans="1:11" ht="18.75" customHeight="1" thickBot="1">
      <c r="A7" s="161">
        <v>5</v>
      </c>
      <c r="B7" s="162"/>
      <c r="C7" s="31" t="s">
        <v>68</v>
      </c>
      <c r="D7" s="23">
        <v>90</v>
      </c>
      <c r="E7" s="8" t="s">
        <v>9</v>
      </c>
      <c r="F7" s="8">
        <v>4</v>
      </c>
      <c r="G7" s="8">
        <v>17</v>
      </c>
      <c r="H7" s="8">
        <v>69</v>
      </c>
      <c r="I7" s="9">
        <f>SUM(E7:H7)</f>
        <v>90</v>
      </c>
      <c r="J7" s="21" t="s">
        <v>9</v>
      </c>
      <c r="K7" s="32"/>
    </row>
    <row r="8" spans="1:11" ht="34.5" customHeight="1" thickBot="1">
      <c r="A8" s="161">
        <v>6</v>
      </c>
      <c r="B8" s="162"/>
      <c r="C8" s="40" t="s">
        <v>33</v>
      </c>
      <c r="D8" s="41">
        <v>8</v>
      </c>
      <c r="E8" s="42" t="s">
        <v>9</v>
      </c>
      <c r="F8" s="43" t="s">
        <v>9</v>
      </c>
      <c r="G8" s="44">
        <v>5</v>
      </c>
      <c r="H8" s="45">
        <v>3</v>
      </c>
      <c r="I8" s="45">
        <f>SUM(E8,F8,G8,H8)</f>
        <v>8</v>
      </c>
      <c r="J8" s="42">
        <v>6</v>
      </c>
      <c r="K8" s="39" t="s">
        <v>54</v>
      </c>
    </row>
    <row r="9" spans="1:11" ht="16.5" thickBot="1">
      <c r="A9" s="161">
        <v>7</v>
      </c>
      <c r="B9" s="162"/>
      <c r="C9" s="31" t="s">
        <v>32</v>
      </c>
      <c r="D9" s="23">
        <v>28</v>
      </c>
      <c r="E9" s="8">
        <v>7</v>
      </c>
      <c r="F9" s="8" t="s">
        <v>9</v>
      </c>
      <c r="G9" s="8" t="s">
        <v>9</v>
      </c>
      <c r="H9" s="8">
        <v>21</v>
      </c>
      <c r="I9" s="9">
        <f>SUM(E9,F9,G9,H9)</f>
        <v>28</v>
      </c>
      <c r="J9" s="21" t="s">
        <v>9</v>
      </c>
      <c r="K9" s="32"/>
    </row>
    <row r="10" spans="1:11" ht="26.25" thickBot="1">
      <c r="A10" s="161">
        <v>8</v>
      </c>
      <c r="B10" s="162"/>
      <c r="C10" s="64" t="s">
        <v>31</v>
      </c>
      <c r="D10" s="25">
        <v>3</v>
      </c>
      <c r="E10" s="8" t="s">
        <v>9</v>
      </c>
      <c r="F10" s="8" t="s">
        <v>9</v>
      </c>
      <c r="G10" s="8" t="s">
        <v>9</v>
      </c>
      <c r="H10" s="8">
        <v>3</v>
      </c>
      <c r="I10" s="9">
        <f>SUM(E10:H10)</f>
        <v>3</v>
      </c>
      <c r="J10" s="21" t="s">
        <v>9</v>
      </c>
      <c r="K10" s="32"/>
    </row>
    <row r="11" spans="1:11" ht="16.5" thickBot="1">
      <c r="A11" s="161">
        <v>9</v>
      </c>
      <c r="B11" s="162"/>
      <c r="C11" s="31" t="s">
        <v>30</v>
      </c>
      <c r="D11" s="23">
        <v>2</v>
      </c>
      <c r="E11" s="8" t="s">
        <v>9</v>
      </c>
      <c r="F11" s="8" t="s">
        <v>9</v>
      </c>
      <c r="G11" s="8" t="s">
        <v>9</v>
      </c>
      <c r="H11" s="8">
        <v>2</v>
      </c>
      <c r="I11" s="9">
        <f>SUM(E11:H11)</f>
        <v>2</v>
      </c>
      <c r="J11" s="21" t="s">
        <v>9</v>
      </c>
      <c r="K11" s="32"/>
    </row>
    <row r="12" spans="1:11" ht="16.5" thickBot="1">
      <c r="A12" s="161">
        <v>10</v>
      </c>
      <c r="B12" s="162"/>
      <c r="C12" s="31" t="s">
        <v>29</v>
      </c>
      <c r="D12" s="23">
        <v>4</v>
      </c>
      <c r="E12" s="8" t="s">
        <v>9</v>
      </c>
      <c r="F12" s="8">
        <f>'Sheet1 (2)'!E30</f>
        <v>0</v>
      </c>
      <c r="G12" s="8">
        <v>2</v>
      </c>
      <c r="H12" s="8">
        <v>2</v>
      </c>
      <c r="I12" s="9">
        <f>SUM(E12:H12)</f>
        <v>4</v>
      </c>
      <c r="J12" s="21" t="s">
        <v>9</v>
      </c>
      <c r="K12" s="32"/>
    </row>
    <row r="13" spans="1:11" ht="30.75" thickBot="1">
      <c r="A13" s="161">
        <v>11</v>
      </c>
      <c r="B13" s="162"/>
      <c r="C13" s="4" t="s">
        <v>28</v>
      </c>
      <c r="D13" s="25">
        <v>15</v>
      </c>
      <c r="E13" s="8" t="s">
        <v>9</v>
      </c>
      <c r="F13" s="8" t="s">
        <v>9</v>
      </c>
      <c r="G13" s="10">
        <v>4</v>
      </c>
      <c r="H13" s="11">
        <v>11</v>
      </c>
      <c r="I13" s="9">
        <f>SUM(E13:H13)</f>
        <v>15</v>
      </c>
      <c r="J13" s="21" t="s">
        <v>9</v>
      </c>
      <c r="K13" s="32"/>
    </row>
    <row r="14" spans="1:11" ht="15.75" thickBot="1">
      <c r="A14" s="166">
        <v>12</v>
      </c>
      <c r="B14" s="166"/>
      <c r="C14" s="317" t="s">
        <v>27</v>
      </c>
      <c r="D14" s="171" t="s">
        <v>48</v>
      </c>
      <c r="E14" s="167" t="s">
        <v>9</v>
      </c>
      <c r="F14" s="167">
        <v>8</v>
      </c>
      <c r="G14" s="167" t="s">
        <v>9</v>
      </c>
      <c r="H14" s="167">
        <v>62</v>
      </c>
      <c r="I14" s="167">
        <f>SUM(E14:H15)</f>
        <v>70</v>
      </c>
      <c r="J14" s="173" t="s">
        <v>9</v>
      </c>
      <c r="K14" s="175"/>
    </row>
    <row r="15" spans="1:11" ht="15" customHeight="1" thickBot="1">
      <c r="A15" s="166"/>
      <c r="B15" s="166"/>
      <c r="C15" s="318"/>
      <c r="D15" s="172"/>
      <c r="E15" s="168"/>
      <c r="F15" s="168"/>
      <c r="G15" s="168"/>
      <c r="H15" s="168"/>
      <c r="I15" s="168"/>
      <c r="J15" s="174"/>
      <c r="K15" s="176"/>
    </row>
    <row r="16" spans="1:11" ht="15.75" thickBot="1">
      <c r="A16" s="166">
        <v>13</v>
      </c>
      <c r="B16" s="181"/>
      <c r="C16" s="319" t="s">
        <v>38</v>
      </c>
      <c r="D16" s="184">
        <v>35</v>
      </c>
      <c r="E16" s="185" t="s">
        <v>9</v>
      </c>
      <c r="F16" s="185" t="s">
        <v>9</v>
      </c>
      <c r="G16" s="185" t="s">
        <v>9</v>
      </c>
      <c r="H16" s="185">
        <v>35</v>
      </c>
      <c r="I16" s="186">
        <f>SUM(E16:H17)</f>
        <v>35</v>
      </c>
      <c r="J16" s="174" t="s">
        <v>9</v>
      </c>
      <c r="K16" s="175"/>
    </row>
    <row r="17" spans="1:11" ht="15.75" thickBot="1">
      <c r="A17" s="166"/>
      <c r="B17" s="181"/>
      <c r="C17" s="320"/>
      <c r="D17" s="166"/>
      <c r="E17" s="185"/>
      <c r="F17" s="185"/>
      <c r="G17" s="185"/>
      <c r="H17" s="185"/>
      <c r="I17" s="186"/>
      <c r="J17" s="174"/>
      <c r="K17" s="176"/>
    </row>
    <row r="18" spans="1:11" ht="30.75" thickBot="1">
      <c r="A18" s="179">
        <v>14</v>
      </c>
      <c r="B18" s="321"/>
      <c r="C18" s="65" t="s">
        <v>39</v>
      </c>
      <c r="D18" s="30">
        <v>4</v>
      </c>
      <c r="E18" s="12" t="s">
        <v>9</v>
      </c>
      <c r="F18" s="12" t="s">
        <v>9</v>
      </c>
      <c r="G18" s="12">
        <v>2</v>
      </c>
      <c r="H18" s="12">
        <v>2</v>
      </c>
      <c r="I18" s="13">
        <f t="shared" ref="I18:I28" si="0">SUM(E18:H18)</f>
        <v>4</v>
      </c>
      <c r="J18" s="22" t="s">
        <v>9</v>
      </c>
      <c r="K18" s="32"/>
    </row>
    <row r="19" spans="1:11" ht="16.5" thickBot="1">
      <c r="A19" s="187">
        <v>15</v>
      </c>
      <c r="B19" s="322"/>
      <c r="C19" s="34" t="s">
        <v>40</v>
      </c>
      <c r="D19" s="26">
        <v>4</v>
      </c>
      <c r="E19" s="14" t="s">
        <v>9</v>
      </c>
      <c r="F19" s="14" t="s">
        <v>9</v>
      </c>
      <c r="G19" s="14" t="s">
        <v>9</v>
      </c>
      <c r="H19" s="14">
        <v>4</v>
      </c>
      <c r="I19" s="13">
        <f t="shared" si="0"/>
        <v>4</v>
      </c>
      <c r="J19" s="22" t="s">
        <v>9</v>
      </c>
      <c r="K19" s="32"/>
    </row>
    <row r="20" spans="1:11" ht="16.5" thickBot="1">
      <c r="A20" s="177">
        <v>16</v>
      </c>
      <c r="B20" s="323"/>
      <c r="C20" s="33" t="s">
        <v>41</v>
      </c>
      <c r="D20" s="27">
        <v>1</v>
      </c>
      <c r="E20" s="15" t="s">
        <v>9</v>
      </c>
      <c r="F20" s="8">
        <v>1</v>
      </c>
      <c r="G20" s="8" t="s">
        <v>9</v>
      </c>
      <c r="H20" s="8" t="s">
        <v>9</v>
      </c>
      <c r="I20" s="9">
        <f t="shared" si="0"/>
        <v>1</v>
      </c>
      <c r="J20" s="21" t="s">
        <v>9</v>
      </c>
      <c r="K20" s="32"/>
    </row>
    <row r="21" spans="1:11" ht="16.5" thickBot="1">
      <c r="A21" s="161">
        <v>17</v>
      </c>
      <c r="B21" s="324"/>
      <c r="C21" s="31" t="s">
        <v>42</v>
      </c>
      <c r="D21" s="23">
        <v>3</v>
      </c>
      <c r="E21" s="8" t="s">
        <v>9</v>
      </c>
      <c r="F21" s="8">
        <v>1</v>
      </c>
      <c r="G21" s="8" t="s">
        <v>9</v>
      </c>
      <c r="H21" s="8">
        <v>3</v>
      </c>
      <c r="I21" s="9">
        <f t="shared" si="0"/>
        <v>4</v>
      </c>
      <c r="J21" s="21" t="s">
        <v>9</v>
      </c>
      <c r="K21" s="32"/>
    </row>
    <row r="22" spans="1:11" ht="16.5" thickBot="1">
      <c r="A22" s="161">
        <v>18</v>
      </c>
      <c r="B22" s="324"/>
      <c r="C22" s="4" t="s">
        <v>53</v>
      </c>
      <c r="D22" s="23">
        <v>13</v>
      </c>
      <c r="E22" s="8" t="s">
        <v>9</v>
      </c>
      <c r="F22" s="8">
        <v>1</v>
      </c>
      <c r="G22" s="8">
        <v>8</v>
      </c>
      <c r="H22" s="8">
        <v>4</v>
      </c>
      <c r="I22" s="9">
        <f t="shared" si="0"/>
        <v>13</v>
      </c>
      <c r="J22" s="21" t="s">
        <v>9</v>
      </c>
      <c r="K22" s="32"/>
    </row>
    <row r="23" spans="1:11" ht="16.5" thickBot="1">
      <c r="A23" s="161">
        <v>19</v>
      </c>
      <c r="B23" s="324"/>
      <c r="C23" s="31" t="s">
        <v>55</v>
      </c>
      <c r="D23" s="28">
        <v>10</v>
      </c>
      <c r="E23" s="15" t="s">
        <v>9</v>
      </c>
      <c r="F23" s="8">
        <v>2</v>
      </c>
      <c r="G23" s="8">
        <v>3</v>
      </c>
      <c r="H23" s="8">
        <v>5</v>
      </c>
      <c r="I23" s="9">
        <f t="shared" si="0"/>
        <v>10</v>
      </c>
      <c r="J23" s="21" t="s">
        <v>9</v>
      </c>
      <c r="K23" s="68" t="s">
        <v>11</v>
      </c>
    </row>
    <row r="24" spans="1:11" ht="16.5" thickBot="1">
      <c r="A24" s="161">
        <v>20</v>
      </c>
      <c r="B24" s="324"/>
      <c r="C24" s="31" t="s">
        <v>43</v>
      </c>
      <c r="D24" s="27">
        <v>5</v>
      </c>
      <c r="E24" s="15" t="s">
        <v>9</v>
      </c>
      <c r="F24" s="8" t="s">
        <v>9</v>
      </c>
      <c r="G24" s="8" t="s">
        <v>9</v>
      </c>
      <c r="H24" s="8">
        <v>5</v>
      </c>
      <c r="I24" s="9">
        <f t="shared" si="0"/>
        <v>5</v>
      </c>
      <c r="J24" s="21" t="s">
        <v>9</v>
      </c>
      <c r="K24" s="32"/>
    </row>
    <row r="25" spans="1:11" ht="16.5" thickBot="1">
      <c r="A25" s="161">
        <v>21</v>
      </c>
      <c r="B25" s="324"/>
      <c r="C25" s="31" t="s">
        <v>44</v>
      </c>
      <c r="D25" s="27">
        <v>9</v>
      </c>
      <c r="E25" s="15" t="s">
        <v>9</v>
      </c>
      <c r="F25" s="15" t="s">
        <v>9</v>
      </c>
      <c r="G25" s="8" t="s">
        <v>9</v>
      </c>
      <c r="H25" s="8">
        <v>9</v>
      </c>
      <c r="I25" s="9">
        <f t="shared" si="0"/>
        <v>9</v>
      </c>
      <c r="J25" s="21" t="s">
        <v>9</v>
      </c>
      <c r="K25" s="32"/>
    </row>
    <row r="26" spans="1:11" ht="27.75" customHeight="1" thickBot="1">
      <c r="A26" s="161">
        <v>22</v>
      </c>
      <c r="B26" s="324"/>
      <c r="C26" s="4" t="s">
        <v>45</v>
      </c>
      <c r="D26" s="24">
        <v>1</v>
      </c>
      <c r="E26" s="15" t="s">
        <v>9</v>
      </c>
      <c r="F26" s="8" t="s">
        <v>9</v>
      </c>
      <c r="G26" s="8" t="s">
        <v>9</v>
      </c>
      <c r="H26" s="8">
        <v>1</v>
      </c>
      <c r="I26" s="9">
        <f t="shared" si="0"/>
        <v>1</v>
      </c>
      <c r="J26" s="21" t="s">
        <v>9</v>
      </c>
      <c r="K26" s="32"/>
    </row>
    <row r="27" spans="1:11" ht="24" customHeight="1" thickBot="1">
      <c r="A27" s="161">
        <v>23</v>
      </c>
      <c r="B27" s="324"/>
      <c r="C27" s="64" t="s">
        <v>46</v>
      </c>
      <c r="D27" s="19" t="s">
        <v>49</v>
      </c>
      <c r="E27" s="15" t="s">
        <v>9</v>
      </c>
      <c r="F27" s="8" t="s">
        <v>9</v>
      </c>
      <c r="G27" s="8">
        <v>100</v>
      </c>
      <c r="H27" s="8">
        <v>509</v>
      </c>
      <c r="I27" s="9">
        <f t="shared" si="0"/>
        <v>609</v>
      </c>
      <c r="J27" s="21" t="s">
        <v>9</v>
      </c>
      <c r="K27" s="32"/>
    </row>
    <row r="28" spans="1:11" ht="24.75" customHeight="1" thickBot="1">
      <c r="A28" s="161">
        <v>24</v>
      </c>
      <c r="B28" s="324"/>
      <c r="C28" s="64" t="s">
        <v>47</v>
      </c>
      <c r="D28" s="24">
        <v>16</v>
      </c>
      <c r="E28" s="15" t="s">
        <v>9</v>
      </c>
      <c r="F28" s="8" t="s">
        <v>9</v>
      </c>
      <c r="G28" s="8" t="s">
        <v>9</v>
      </c>
      <c r="H28" s="8">
        <v>16</v>
      </c>
      <c r="I28" s="9">
        <f t="shared" si="0"/>
        <v>16</v>
      </c>
      <c r="J28" s="21" t="s">
        <v>9</v>
      </c>
      <c r="K28" s="32"/>
    </row>
    <row r="29" spans="1:11" ht="15.75" thickBot="1">
      <c r="A29" s="325" t="s">
        <v>73</v>
      </c>
      <c r="B29" s="326"/>
      <c r="C29" s="326"/>
      <c r="D29" s="326"/>
      <c r="E29" s="326"/>
      <c r="F29" s="326"/>
      <c r="G29" s="326"/>
      <c r="H29" s="326"/>
      <c r="I29" s="326"/>
      <c r="J29" s="326"/>
      <c r="K29" s="327"/>
    </row>
    <row r="30" spans="1:11" ht="16.5" thickBot="1">
      <c r="A30" s="60">
        <v>1</v>
      </c>
      <c r="B30" s="295" t="s">
        <v>12</v>
      </c>
      <c r="C30" s="296"/>
      <c r="D30" s="296"/>
      <c r="E30" s="296"/>
      <c r="F30" s="296"/>
      <c r="G30" s="296"/>
      <c r="H30" s="297"/>
      <c r="I30" s="298">
        <v>20</v>
      </c>
      <c r="J30" s="299"/>
      <c r="K30" s="46"/>
    </row>
    <row r="31" spans="1:11" ht="14.25" customHeight="1" thickBot="1">
      <c r="A31" s="60">
        <v>2</v>
      </c>
      <c r="B31" s="201" t="s">
        <v>61</v>
      </c>
      <c r="C31" s="201"/>
      <c r="D31" s="201"/>
      <c r="E31" s="202"/>
      <c r="F31" s="202"/>
      <c r="G31" s="202"/>
      <c r="H31" s="201"/>
      <c r="I31" s="204" t="s">
        <v>18</v>
      </c>
      <c r="J31" s="190"/>
      <c r="K31" s="175"/>
    </row>
    <row r="32" spans="1:11" ht="15.75" customHeight="1" thickBot="1">
      <c r="A32" s="61"/>
      <c r="B32" s="201"/>
      <c r="C32" s="201"/>
      <c r="D32" s="201"/>
      <c r="E32" s="202"/>
      <c r="F32" s="202"/>
      <c r="G32" s="202"/>
      <c r="H32" s="201"/>
      <c r="I32" s="203"/>
      <c r="J32" s="203"/>
      <c r="K32" s="176"/>
    </row>
    <row r="33" spans="1:11" ht="16.5" thickBot="1">
      <c r="A33" s="60">
        <v>3</v>
      </c>
      <c r="B33" s="197" t="s">
        <v>19</v>
      </c>
      <c r="C33" s="197"/>
      <c r="D33" s="197"/>
      <c r="E33" s="206"/>
      <c r="F33" s="206"/>
      <c r="G33" s="206"/>
      <c r="H33" s="197"/>
      <c r="I33" s="207" t="s">
        <v>20</v>
      </c>
      <c r="J33" s="192"/>
      <c r="K33" s="32"/>
    </row>
    <row r="34" spans="1:11" ht="15.75">
      <c r="A34" s="328">
        <v>4</v>
      </c>
      <c r="B34" s="189" t="s">
        <v>21</v>
      </c>
      <c r="C34" s="189"/>
      <c r="D34" s="189"/>
      <c r="E34" s="190"/>
      <c r="F34" s="190"/>
      <c r="G34" s="190"/>
      <c r="H34" s="191"/>
      <c r="I34" s="190">
        <v>150</v>
      </c>
      <c r="J34" s="190"/>
      <c r="K34" s="175"/>
    </row>
    <row r="35" spans="1:11" ht="16.5" thickBot="1">
      <c r="A35" s="328"/>
      <c r="B35" s="196" t="s">
        <v>22</v>
      </c>
      <c r="C35" s="196"/>
      <c r="D35" s="196"/>
      <c r="E35" s="192"/>
      <c r="F35" s="192"/>
      <c r="G35" s="192"/>
      <c r="H35" s="197"/>
      <c r="I35" s="192"/>
      <c r="J35" s="192"/>
      <c r="K35" s="176"/>
    </row>
    <row r="36" spans="1:11" ht="16.5" thickBot="1">
      <c r="A36" s="60">
        <v>5</v>
      </c>
      <c r="B36" s="197" t="s">
        <v>23</v>
      </c>
      <c r="C36" s="197"/>
      <c r="D36" s="197"/>
      <c r="E36" s="206"/>
      <c r="F36" s="206"/>
      <c r="G36" s="206"/>
      <c r="H36" s="197"/>
      <c r="I36" s="207" t="s">
        <v>20</v>
      </c>
      <c r="J36" s="192"/>
      <c r="K36" s="32"/>
    </row>
    <row r="37" spans="1:11" ht="16.5" thickBot="1">
      <c r="A37" s="62">
        <v>6</v>
      </c>
      <c r="B37" s="191" t="s">
        <v>60</v>
      </c>
      <c r="C37" s="191"/>
      <c r="D37" s="191"/>
      <c r="E37" s="331"/>
      <c r="F37" s="331"/>
      <c r="G37" s="331"/>
      <c r="H37" s="191"/>
      <c r="I37" s="332">
        <v>3</v>
      </c>
      <c r="J37" s="311"/>
      <c r="K37" s="55"/>
    </row>
    <row r="38" spans="1:11" ht="15.75">
      <c r="A38" s="63"/>
      <c r="B38" s="333" t="s">
        <v>50</v>
      </c>
      <c r="C38" s="334"/>
      <c r="D38" s="335"/>
      <c r="E38" s="333" t="s">
        <v>51</v>
      </c>
      <c r="F38" s="334"/>
      <c r="G38" s="335"/>
      <c r="H38" s="334" t="s">
        <v>52</v>
      </c>
      <c r="I38" s="334"/>
      <c r="J38" s="334"/>
      <c r="K38" s="335"/>
    </row>
    <row r="39" spans="1:11" ht="65.25" customHeight="1">
      <c r="B39" s="329"/>
      <c r="C39" s="330"/>
      <c r="D39" s="67"/>
      <c r="E39" s="66"/>
      <c r="F39" s="66"/>
      <c r="G39" s="66"/>
      <c r="H39" s="67"/>
      <c r="I39" s="66"/>
      <c r="J39" s="66"/>
      <c r="K39" s="67"/>
    </row>
  </sheetData>
  <mergeCells count="65">
    <mergeCell ref="B39:C39"/>
    <mergeCell ref="B36:H36"/>
    <mergeCell ref="I36:J36"/>
    <mergeCell ref="B37:H37"/>
    <mergeCell ref="I37:J37"/>
    <mergeCell ref="B38:D38"/>
    <mergeCell ref="E38:G38"/>
    <mergeCell ref="H38:K38"/>
    <mergeCell ref="B31:H32"/>
    <mergeCell ref="I31:J32"/>
    <mergeCell ref="K31:K32"/>
    <mergeCell ref="B33:H33"/>
    <mergeCell ref="I33:J33"/>
    <mergeCell ref="A34:A35"/>
    <mergeCell ref="B34:H34"/>
    <mergeCell ref="I34:J35"/>
    <mergeCell ref="K34:K35"/>
    <mergeCell ref="B35:H35"/>
    <mergeCell ref="B30:H30"/>
    <mergeCell ref="I30:J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K29"/>
    <mergeCell ref="A18:B18"/>
    <mergeCell ref="G14:G15"/>
    <mergeCell ref="H14:H15"/>
    <mergeCell ref="I14:I15"/>
    <mergeCell ref="J14:J15"/>
    <mergeCell ref="G16:G17"/>
    <mergeCell ref="H16:H17"/>
    <mergeCell ref="I16:I17"/>
    <mergeCell ref="J16:J17"/>
    <mergeCell ref="K14:K15"/>
    <mergeCell ref="A16:B17"/>
    <mergeCell ref="C16:C17"/>
    <mergeCell ref="D16:D17"/>
    <mergeCell ref="E16:E17"/>
    <mergeCell ref="F16:F17"/>
    <mergeCell ref="F14:F15"/>
    <mergeCell ref="K16:K17"/>
    <mergeCell ref="A13:B13"/>
    <mergeCell ref="A14:B15"/>
    <mergeCell ref="C14:C15"/>
    <mergeCell ref="D14:D15"/>
    <mergeCell ref="E14:E15"/>
    <mergeCell ref="A12:B12"/>
    <mergeCell ref="A1:K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  <pageSetup paperSize="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4C48DD-591B-4E02-97F0-54EE445D0F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 (3)</vt:lpstr>
      <vt:lpstr>Sheet1 (5)</vt:lpstr>
      <vt:lpstr>Sheet2</vt:lpstr>
      <vt:lpstr>Sheet1 (2)</vt:lpstr>
      <vt:lpstr>Sheet1 (4)</vt:lpstr>
      <vt:lpstr>Sheet1</vt:lpstr>
      <vt:lpstr>'Sheet1 (2)'!Print_Area</vt:lpstr>
      <vt:lpstr>'Sheet1 (3)'!Print_Area</vt:lpstr>
      <vt:lpstr>'Sheet1 (4)'!Print_Area</vt:lpstr>
      <vt:lpstr>'Sheet1 (5)'!Print_Area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Koppu</dc:creator>
  <cp:lastModifiedBy>Ganesh Koppu</cp:lastModifiedBy>
  <cp:lastPrinted>2026-02-16T04:59:49Z</cp:lastPrinted>
  <dcterms:created xsi:type="dcterms:W3CDTF">2024-12-14T04:34:58Z</dcterms:created>
  <dcterms:modified xsi:type="dcterms:W3CDTF">2026-02-25T04:16:24Z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1452FE0760534B65AEC8B953FAAE3A1F_11</vt:lpwstr>
  </property>
  <property fmtid="{D5CDD505-2E9C-101B-9397-08002B2CF9AE}" pid="3" name="KSOProductBuildVer">
    <vt:lpwstr>1033-12.2.0.19307</vt:lpwstr>
  </property>
</Properties>
</file>